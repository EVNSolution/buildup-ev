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evnsolution.sharepoint.com/sites/msteams_6521ac/Shared Documents/032. 후속플랫폼 개발/05. 판매/01.STEGO-K1/03.견적서/"/>
    </mc:Choice>
  </mc:AlternateContent>
  <xr:revisionPtr revIDLastSave="0" documentId="8_{A7C198E1-320A-4FAE-A68B-97047AF71F8C}" xr6:coauthVersionLast="47" xr6:coauthVersionMax="47" xr10:uidLastSave="{00000000-0000-0000-0000-000000000000}"/>
  <bookViews>
    <workbookView xWindow="-23148" yWindow="-108" windowWidth="23256" windowHeight="12456" tabRatio="500" activeTab="1" xr2:uid="{00000000-000D-0000-FFFF-FFFF00000000}"/>
  </bookViews>
  <sheets>
    <sheet name="입력 시트" sheetId="3" r:id="rId1"/>
    <sheet name="차량견적서" sheetId="4" r:id="rId2"/>
    <sheet name="옵션DB" sheetId="2" r:id="rId3"/>
  </sheets>
  <definedNames>
    <definedName name="_xlnm.Print_Area" localSheetId="1">차량견적서!$A$1:$N$33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" i="4" l="1"/>
  <c r="I10" i="4"/>
  <c r="A16" i="4"/>
  <c r="I13" i="4"/>
  <c r="D12" i="4"/>
  <c r="M23" i="4"/>
  <c r="M21" i="4"/>
  <c r="M16" i="4"/>
  <c r="D29" i="4"/>
  <c r="D28" i="4"/>
  <c r="D27" i="4"/>
  <c r="D26" i="4"/>
  <c r="I25" i="4"/>
  <c r="D25" i="4"/>
  <c r="I23" i="4"/>
  <c r="I18" i="4"/>
  <c r="M15" i="4"/>
  <c r="I15" i="4"/>
  <c r="F15" i="4"/>
  <c r="D15" i="4"/>
  <c r="M14" i="4"/>
  <c r="I14" i="4"/>
  <c r="F14" i="4"/>
  <c r="M13" i="4"/>
  <c r="F13" i="4"/>
  <c r="M12" i="4"/>
  <c r="I12" i="4"/>
  <c r="F12" i="4"/>
  <c r="M11" i="4"/>
  <c r="I11" i="4"/>
  <c r="F11" i="4"/>
  <c r="D11" i="4"/>
  <c r="M10" i="4"/>
  <c r="I16" i="4"/>
  <c r="I20" i="4" s="1"/>
  <c r="F10" i="4"/>
  <c r="D10" i="4"/>
  <c r="M9" i="4"/>
  <c r="B5" i="4" a="1"/>
  <c r="B5" i="4" s="1"/>
  <c r="A4" i="4"/>
  <c r="A2" i="4"/>
  <c r="H1" i="4"/>
  <c r="I15" i="2" a="1"/>
  <c r="I15" i="2"/>
  <c r="H17" i="2"/>
  <c r="E17" i="2"/>
  <c r="H15" i="2"/>
  <c r="E15" i="2"/>
  <c r="H14" i="2"/>
  <c r="H13" i="2"/>
  <c r="E13" i="2"/>
  <c r="H11" i="2"/>
  <c r="E11" i="2"/>
  <c r="H10" i="2"/>
  <c r="H8" i="2"/>
  <c r="E8" i="2"/>
  <c r="H7" i="2"/>
  <c r="E7" i="2"/>
  <c r="K8" i="2"/>
  <c r="H6" i="2"/>
  <c r="K5" i="2"/>
  <c r="K4" i="2"/>
  <c r="H4" i="2"/>
  <c r="E4" i="2"/>
  <c r="K3" i="2"/>
  <c r="H3" i="2"/>
  <c r="E3" i="2"/>
  <c r="K2" i="2"/>
  <c r="H2" i="2"/>
  <c r="D18" i="4" l="1"/>
  <c r="D17" i="4"/>
  <c r="D13" i="4"/>
  <c r="D14" i="4" s="1"/>
  <c r="D24" i="4" s="1"/>
  <c r="I24" i="4"/>
  <c r="I30" i="4" s="1"/>
  <c r="M18" i="4"/>
  <c r="D19" i="4"/>
  <c r="I31" i="4"/>
  <c r="D30" i="4" l="1"/>
  <c r="D20" i="4"/>
  <c r="D22" i="4" l="1"/>
  <c r="M26" i="4"/>
  <c r="D23" i="4"/>
  <c r="D31" i="4" s="1"/>
  <c r="L18" i="4"/>
  <c r="L19" i="4" s="1"/>
  <c r="M24" i="4" s="1"/>
  <c r="M2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10" authorId="0" shapeId="0" xr:uid="{87D73483-867C-4F2A-848F-9687356BE57E}">
      <text>
        <r>
          <rPr>
            <sz val="10"/>
            <rFont val="Noto Sans CJK SC"/>
            <family val="2"/>
          </rPr>
          <t xml:space="preserve">공급가액 </t>
        </r>
        <r>
          <rPr>
            <sz val="10"/>
            <rFont val="Arial"/>
            <family val="2"/>
          </rPr>
          <t>43,500,000</t>
        </r>
        <r>
          <rPr>
            <sz val="10"/>
            <rFont val="Noto Sans CJK SC"/>
            <family val="2"/>
          </rPr>
          <t xml:space="preserve">원 </t>
        </r>
        <r>
          <rPr>
            <sz val="10"/>
            <rFont val="Arial"/>
            <family val="2"/>
          </rPr>
          <t xml:space="preserve">× 1.1 (VAT </t>
        </r>
        <r>
          <rPr>
            <sz val="10"/>
            <rFont val="Noto Sans CJK SC"/>
            <family val="2"/>
          </rPr>
          <t>포함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>출처</t>
        </r>
        <r>
          <rPr>
            <sz val="10"/>
            <rFont val="Arial"/>
            <family val="2"/>
          </rPr>
          <t>: STEGO-K1_</t>
        </r>
        <r>
          <rPr>
            <sz val="10"/>
            <rFont val="Noto Sans CJK SC"/>
            <family val="2"/>
          </rPr>
          <t xml:space="preserve">차량견적서 </t>
        </r>
        <r>
          <rPr>
            <sz val="10"/>
            <rFont val="Arial"/>
            <family val="2"/>
          </rPr>
          <t xml:space="preserve">&gt; </t>
        </r>
        <r>
          <rPr>
            <sz val="10"/>
            <rFont val="Noto Sans CJK SC"/>
            <family val="2"/>
          </rPr>
          <t>견적서</t>
        </r>
        <r>
          <rPr>
            <sz val="10"/>
            <rFont val="Arial"/>
            <family val="2"/>
          </rPr>
          <t>_Ver1.2 D13</t>
        </r>
      </text>
    </comment>
    <comment ref="D12" authorId="0" shapeId="0" xr:uid="{401B0058-D11F-47A4-AABB-E4B96C20CD75}">
      <text>
        <r>
          <rPr>
            <sz val="10"/>
            <rFont val="Noto Sans CJK SC"/>
            <family val="2"/>
          </rPr>
          <t xml:space="preserve">공급가액 </t>
        </r>
        <r>
          <rPr>
            <sz val="10"/>
            <rFont val="Arial"/>
            <family val="2"/>
          </rPr>
          <t>17,000,000</t>
        </r>
        <r>
          <rPr>
            <sz val="10"/>
            <rFont val="Noto Sans CJK SC"/>
            <family val="2"/>
          </rPr>
          <t xml:space="preserve">원 </t>
        </r>
        <r>
          <rPr>
            <sz val="10"/>
            <rFont val="Arial"/>
            <family val="2"/>
          </rPr>
          <t xml:space="preserve">× 1.1 (VAT </t>
        </r>
        <r>
          <rPr>
            <sz val="10"/>
            <rFont val="Noto Sans CJK SC"/>
            <family val="2"/>
          </rPr>
          <t>포함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>출처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견적서</t>
        </r>
        <r>
          <rPr>
            <sz val="10"/>
            <rFont val="Arial"/>
            <family val="2"/>
          </rPr>
          <t>_Ver1.2 D15</t>
        </r>
      </text>
    </comment>
    <comment ref="I13" authorId="0" shapeId="0" xr:uid="{4072D1A3-9D3A-4F89-BF87-AC944663CC65}">
      <text>
        <r>
          <rPr>
            <sz val="10"/>
            <rFont val="Noto Sans CJK SC"/>
            <family val="2"/>
          </rPr>
          <t xml:space="preserve">공급가액 </t>
        </r>
        <r>
          <rPr>
            <sz val="10"/>
            <rFont val="Arial"/>
            <family val="2"/>
          </rPr>
          <t>17,000,000</t>
        </r>
        <r>
          <rPr>
            <sz val="10"/>
            <rFont val="Noto Sans CJK SC"/>
            <family val="2"/>
          </rPr>
          <t xml:space="preserve">원 </t>
        </r>
        <r>
          <rPr>
            <sz val="10"/>
            <rFont val="Arial"/>
            <family val="2"/>
          </rPr>
          <t xml:space="preserve">× 1.1 (VAT </t>
        </r>
        <r>
          <rPr>
            <sz val="10"/>
            <rFont val="Noto Sans CJK SC"/>
            <family val="2"/>
          </rPr>
          <t>포함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>출처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견적서</t>
        </r>
        <r>
          <rPr>
            <sz val="10"/>
            <rFont val="Arial"/>
            <family val="2"/>
          </rPr>
          <t>_Ver1.2 D15</t>
        </r>
      </text>
    </comment>
    <comment ref="D15" authorId="0" shapeId="0" xr:uid="{71D1F173-7D56-483D-9F0E-140C881CA627}">
      <text>
        <r>
          <rPr>
            <sz val="10"/>
            <rFont val="Noto Sans CJK SC"/>
            <family val="2"/>
          </rPr>
          <t>출처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견적서</t>
        </r>
        <r>
          <rPr>
            <sz val="10"/>
            <rFont val="Arial"/>
            <family val="2"/>
          </rPr>
          <t>_Ver1.2 D26</t>
        </r>
      </text>
    </comment>
    <comment ref="D16" authorId="0" shapeId="0" xr:uid="{8D8DAAF2-3C09-4E7C-A977-87B4A6A0AAF4}">
      <text>
        <r>
          <rPr>
            <sz val="10"/>
            <rFont val="Noto Sans CJK SC"/>
            <family val="2"/>
          </rPr>
          <t>출처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견적서</t>
        </r>
        <r>
          <rPr>
            <sz val="10"/>
            <rFont val="Arial"/>
            <family val="2"/>
          </rPr>
          <t>_Ver1.2 D27 (</t>
        </r>
        <r>
          <rPr>
            <sz val="10"/>
            <rFont val="Noto Sans CJK SC"/>
            <family val="2"/>
          </rPr>
          <t>지역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경북 울릉군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개인사업자</t>
        </r>
        <r>
          <rPr>
            <sz val="10"/>
            <rFont val="Arial"/>
            <family val="2"/>
          </rPr>
          <t>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<sst xmlns="http://schemas.openxmlformats.org/spreadsheetml/2006/main" count="337" uniqueCount="322">
  <si>
    <t>고객명</t>
    <phoneticPr fontId="1" type="noConversion"/>
  </si>
  <si>
    <t>정재성</t>
  </si>
  <si>
    <t>작성일자</t>
    <phoneticPr fontId="1" type="noConversion"/>
  </si>
  <si>
    <t>구분</t>
    <phoneticPr fontId="1" type="noConversion"/>
  </si>
  <si>
    <t>개인사업자</t>
  </si>
  <si>
    <t>지역</t>
    <phoneticPr fontId="1" type="noConversion"/>
  </si>
  <si>
    <t>경기 군포시</t>
  </si>
  <si>
    <t>소상공인</t>
    <phoneticPr fontId="1" type="noConversion"/>
  </si>
  <si>
    <t>O</t>
  </si>
  <si>
    <t>면세구분</t>
  </si>
  <si>
    <t>일반인</t>
  </si>
  <si>
    <t>경유차 폐차여부</t>
  </si>
  <si>
    <t>경유차 유지 후 전기차 전환</t>
  </si>
  <si>
    <t>선수금</t>
  </si>
  <si>
    <t>화물자동차 운송사업허가증</t>
  </si>
  <si>
    <t>할부개월수</t>
  </si>
  <si>
    <t>영업용 번호판 보유</t>
  </si>
  <si>
    <t>차량/특장 옵션 (VAT 포함)</t>
  </si>
  <si>
    <t>차량</t>
  </si>
  <si>
    <t>PV5</t>
  </si>
  <si>
    <t>플러스</t>
  </si>
  <si>
    <t>특장</t>
  </si>
  <si>
    <t>탑 종류</t>
  </si>
  <si>
    <t>냉장/냉동</t>
  </si>
  <si>
    <t>탑 높이</t>
    <phoneticPr fontId="1" type="noConversion"/>
  </si>
  <si>
    <t>저상</t>
  </si>
  <si>
    <t>스포일러</t>
  </si>
  <si>
    <t>X</t>
  </si>
  <si>
    <t>도어옵션</t>
    <phoneticPr fontId="1" type="noConversion"/>
  </si>
  <si>
    <t>슬라이딩</t>
  </si>
  <si>
    <t>도어추가</t>
  </si>
  <si>
    <t>온도기록계</t>
  </si>
  <si>
    <t>격벽</t>
    <phoneticPr fontId="1" type="noConversion"/>
  </si>
  <si>
    <t>냉장/냉동 이동식</t>
  </si>
  <si>
    <r>
      <t>STEGO K_</t>
    </r>
    <r>
      <rPr>
        <b/>
        <sz val="20"/>
        <rFont val="맑은 고딕"/>
        <family val="3"/>
        <charset val="129"/>
      </rPr>
      <t>견적서</t>
    </r>
    <phoneticPr fontId="17" type="noConversion"/>
  </si>
  <si>
    <t>: BuildUP-EV 입력</t>
  </si>
  <si>
    <t>: DB + 수식</t>
  </si>
  <si>
    <t>: DB</t>
  </si>
  <si>
    <t>: 수식</t>
  </si>
  <si>
    <t>: 고정</t>
  </si>
  <si>
    <r>
      <rPr>
        <b/>
        <sz val="11"/>
        <rFont val="맑은 고딕"/>
        <family val="2"/>
        <charset val="129"/>
      </rPr>
      <t>차량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정보</t>
    </r>
    <phoneticPr fontId="17" type="noConversion"/>
  </si>
  <si>
    <r>
      <rPr>
        <b/>
        <sz val="11"/>
        <rFont val="맑은 고딕"/>
        <family val="2"/>
        <charset val="129"/>
      </rPr>
      <t>특장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정보</t>
    </r>
    <phoneticPr fontId="17" type="noConversion"/>
  </si>
  <si>
    <t>고객 정보</t>
  </si>
  <si>
    <t>고객명</t>
  </si>
  <si>
    <r>
      <rPr>
        <b/>
        <sz val="10"/>
        <color rgb="FF000000"/>
        <rFont val="Noto Sans CJK SC"/>
      </rPr>
      <t xml:space="preserve"> </t>
    </r>
    <r>
      <rPr>
        <b/>
        <sz val="12"/>
        <color rgb="FF000000"/>
        <rFont val="Segoe UI Symbol"/>
      </rPr>
      <t>①</t>
    </r>
    <r>
      <rPr>
        <b/>
        <sz val="10"/>
        <color rgb="FF000000"/>
        <rFont val="Arial"/>
      </rPr>
      <t xml:space="preserve"> </t>
    </r>
    <r>
      <rPr>
        <b/>
        <sz val="10"/>
        <color rgb="FF000000"/>
        <rFont val="맑은 고딕"/>
      </rPr>
      <t>차량</t>
    </r>
    <r>
      <rPr>
        <b/>
        <sz val="10"/>
        <color rgb="FF000000"/>
        <rFont val="Arial"/>
      </rPr>
      <t xml:space="preserve"> </t>
    </r>
    <r>
      <rPr>
        <b/>
        <sz val="10"/>
        <color rgb="FF000000"/>
        <rFont val="맑은 고딕"/>
      </rPr>
      <t>가격</t>
    </r>
  </si>
  <si>
    <t>구분</t>
  </si>
  <si>
    <r>
      <rPr>
        <b/>
        <sz val="10"/>
        <color rgb="FF000000"/>
        <rFont val="Noto Sans CJK SC"/>
      </rPr>
      <t xml:space="preserve"> </t>
    </r>
    <r>
      <rPr>
        <b/>
        <sz val="12"/>
        <color rgb="FF000000"/>
        <rFont val="Segoe UI Symbol"/>
      </rPr>
      <t>②</t>
    </r>
    <r>
      <rPr>
        <b/>
        <sz val="10"/>
        <color rgb="FF000000"/>
        <rFont val="Arial"/>
      </rPr>
      <t xml:space="preserve"> </t>
    </r>
    <r>
      <rPr>
        <b/>
        <sz val="10"/>
        <color rgb="FF000000"/>
        <rFont val="맑은 고딕"/>
      </rPr>
      <t>탁송료</t>
    </r>
  </si>
  <si>
    <t>지역</t>
  </si>
  <si>
    <r>
      <rPr>
        <sz val="10"/>
        <color rgb="FF000000"/>
        <rFont val="맑은 고딕"/>
        <family val="3"/>
        <charset val="129"/>
      </rPr>
      <t xml:space="preserve"> 현대커머셜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할인</t>
    </r>
    <phoneticPr fontId="17" type="noConversion"/>
  </si>
  <si>
    <t>소상공인</t>
  </si>
  <si>
    <t xml:space="preserve"> 공식 파트너십 할인</t>
    <phoneticPr fontId="17" type="noConversion"/>
  </si>
  <si>
    <r>
      <t xml:space="preserve"> </t>
    </r>
    <r>
      <rPr>
        <b/>
        <sz val="12"/>
        <color rgb="FF000000"/>
        <rFont val="Segoe UI Symbol"/>
        <family val="1"/>
      </rPr>
      <t>③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구매 혜택</t>
    </r>
    <phoneticPr fontId="17" type="noConversion"/>
  </si>
  <si>
    <t xml:space="preserve"> 국고보조금 (정부)</t>
  </si>
  <si>
    <r>
      <rPr>
        <b/>
        <sz val="10"/>
        <color rgb="FF000000"/>
        <rFont val="Noto Sans CJK SC"/>
      </rPr>
      <t xml:space="preserve"> ⑦</t>
    </r>
    <r>
      <rPr>
        <b/>
        <sz val="10"/>
        <color rgb="FF000000"/>
        <rFont val="Arial"/>
      </rPr>
      <t xml:space="preserve"> </t>
    </r>
    <r>
      <rPr>
        <b/>
        <sz val="10"/>
        <color rgb="FF000000"/>
        <rFont val="맑은 고딕"/>
      </rPr>
      <t>특장</t>
    </r>
    <r>
      <rPr>
        <b/>
        <sz val="10"/>
        <color rgb="FF000000"/>
        <rFont val="Arial"/>
      </rPr>
      <t xml:space="preserve"> </t>
    </r>
    <r>
      <rPr>
        <b/>
        <sz val="10"/>
        <color rgb="FF000000"/>
        <rFont val="맑은 고딕"/>
      </rPr>
      <t>가격</t>
    </r>
    <r>
      <rPr>
        <b/>
        <sz val="10"/>
        <color rgb="FF000000"/>
        <rFont val="Arial"/>
      </rPr>
      <t xml:space="preserve"> (VAT </t>
    </r>
    <r>
      <rPr>
        <b/>
        <sz val="10"/>
        <color rgb="FF000000"/>
        <rFont val="맑은 고딕"/>
      </rPr>
      <t>포함</t>
    </r>
    <r>
      <rPr>
        <b/>
        <sz val="10"/>
        <color rgb="FF000000"/>
        <rFont val="Arial"/>
      </rPr>
      <t>)</t>
    </r>
  </si>
  <si>
    <t xml:space="preserve"> 소상공인 할인</t>
  </si>
  <si>
    <t>프로모션</t>
  </si>
  <si>
    <t>할부</t>
    <phoneticPr fontId="17" type="noConversion"/>
  </si>
  <si>
    <t>차량</t>
    <phoneticPr fontId="17" type="noConversion"/>
  </si>
  <si>
    <t>특장</t>
    <phoneticPr fontId="17" type="noConversion"/>
  </si>
  <si>
    <t xml:space="preserve"> 택배업 보조금 (화물운송자격)</t>
  </si>
  <si>
    <t xml:space="preserve"> ⑧ 프로모션</t>
  </si>
  <si>
    <t>할부금</t>
    <phoneticPr fontId="17" type="noConversion"/>
  </si>
  <si>
    <r>
      <rPr>
        <b/>
        <sz val="10"/>
        <color rgb="FF000000"/>
        <rFont val="Malgun Gothic"/>
      </rPr>
      <t xml:space="preserve"> ④ EV</t>
    </r>
    <r>
      <rPr>
        <b/>
        <sz val="10"/>
        <color rgb="FF000000"/>
        <rFont val="맑은 고딕"/>
      </rPr>
      <t>보조금</t>
    </r>
    <r>
      <rPr>
        <b/>
        <sz val="10"/>
        <color rgb="FF000000"/>
        <rFont val="Arial"/>
      </rPr>
      <t xml:space="preserve"> </t>
    </r>
    <r>
      <rPr>
        <b/>
        <sz val="10"/>
        <color rgb="FF000000"/>
        <rFont val="맑은 고딕"/>
      </rPr>
      <t>합계</t>
    </r>
  </si>
  <si>
    <t>총할부금</t>
    <phoneticPr fontId="17" type="noConversion"/>
  </si>
  <si>
    <r>
      <rPr>
        <b/>
        <sz val="10"/>
        <color rgb="FF000000"/>
        <rFont val="Noto Sans CJK SC"/>
      </rPr>
      <t xml:space="preserve"> </t>
    </r>
    <r>
      <rPr>
        <b/>
        <sz val="10"/>
        <color rgb="FF000000"/>
        <rFont val="맑은 고딕"/>
      </rPr>
      <t>차량</t>
    </r>
    <r>
      <rPr>
        <b/>
        <sz val="10"/>
        <color rgb="FF000000"/>
        <rFont val="Arial"/>
      </rPr>
      <t xml:space="preserve"> </t>
    </r>
    <r>
      <rPr>
        <b/>
        <sz val="10"/>
        <color rgb="FF000000"/>
        <rFont val="맑은 고딕"/>
      </rPr>
      <t>결제</t>
    </r>
    <r>
      <rPr>
        <b/>
        <sz val="10"/>
        <color rgb="FF000000"/>
        <rFont val="Arial"/>
      </rPr>
      <t xml:space="preserve"> </t>
    </r>
    <r>
      <rPr>
        <b/>
        <sz val="10"/>
        <color rgb="FF000000"/>
        <rFont val="맑은 고딕"/>
      </rPr>
      <t>금액</t>
    </r>
    <r>
      <rPr>
        <b/>
        <sz val="10"/>
        <color rgb="FF000000"/>
        <rFont val="Arial"/>
      </rPr>
      <t xml:space="preserve">  (</t>
    </r>
    <r>
      <rPr>
        <b/>
        <sz val="10"/>
        <color rgb="FF000000"/>
        <rFont val="Noto Sans CJK SC"/>
      </rPr>
      <t>①</t>
    </r>
    <r>
      <rPr>
        <b/>
        <sz val="10"/>
        <color rgb="FF000000"/>
        <rFont val="Arial"/>
      </rPr>
      <t>+</t>
    </r>
    <r>
      <rPr>
        <b/>
        <sz val="10"/>
        <color rgb="FF000000"/>
        <rFont val="Noto Sans CJK SC"/>
      </rPr>
      <t>②</t>
    </r>
    <r>
      <rPr>
        <b/>
        <sz val="10"/>
        <color rgb="FF000000"/>
        <rFont val="Arial"/>
      </rPr>
      <t>-</t>
    </r>
    <r>
      <rPr>
        <b/>
        <sz val="10"/>
        <color rgb="FF000000"/>
        <rFont val="Noto Sans CJK SC"/>
      </rPr>
      <t>③</t>
    </r>
    <r>
      <rPr>
        <b/>
        <sz val="10"/>
        <color rgb="FF000000"/>
        <rFont val="Arial"/>
      </rPr>
      <t>-</t>
    </r>
    <r>
      <rPr>
        <b/>
        <sz val="10"/>
        <color rgb="FF000000"/>
        <rFont val="Noto Sans CJK SC"/>
      </rPr>
      <t>④</t>
    </r>
    <r>
      <rPr>
        <b/>
        <sz val="10"/>
        <color rgb="FF000000"/>
        <rFont val="Arial"/>
      </rPr>
      <t>)</t>
    </r>
  </si>
  <si>
    <t xml:space="preserve"> 특장 결제 금액  (⑦-⑧)</t>
  </si>
  <si>
    <t>상품명</t>
    <phoneticPr fontId="17" type="noConversion"/>
  </si>
  <si>
    <t>일반형 오토론할부</t>
    <phoneticPr fontId="17" type="noConversion"/>
  </si>
  <si>
    <t xml:space="preserve"> 계약금</t>
  </si>
  <si>
    <t>이율</t>
  </si>
  <si>
    <t xml:space="preserve"> 선수금</t>
  </si>
  <si>
    <t>할부이자</t>
    <phoneticPr fontId="17" type="noConversion"/>
  </si>
  <si>
    <r>
      <rPr>
        <b/>
        <sz val="10"/>
        <color rgb="FF000000"/>
        <rFont val="Noto Sans CJK SC"/>
      </rPr>
      <t xml:space="preserve"> ⑤</t>
    </r>
    <r>
      <rPr>
        <b/>
        <sz val="10"/>
        <color rgb="FF000000"/>
        <rFont val="Arial"/>
      </rPr>
      <t xml:space="preserve"> </t>
    </r>
    <r>
      <rPr>
        <b/>
        <sz val="10"/>
        <color rgb="FF000000"/>
        <rFont val="맑은 고딕"/>
      </rPr>
      <t>인도금(차량)</t>
    </r>
    <r>
      <rPr>
        <b/>
        <sz val="10"/>
        <color rgb="FF000000"/>
        <rFont val="Arial"/>
      </rPr>
      <t xml:space="preserve"> (</t>
    </r>
    <r>
      <rPr>
        <b/>
        <sz val="10"/>
        <color rgb="FF000000"/>
        <rFont val="맑은 고딕"/>
      </rPr>
      <t>차량구매금액</t>
    </r>
    <r>
      <rPr>
        <b/>
        <sz val="10"/>
        <color rgb="FF000000"/>
        <rFont val="Arial"/>
      </rPr>
      <t>-</t>
    </r>
    <r>
      <rPr>
        <b/>
        <sz val="10"/>
        <color rgb="FF000000"/>
        <rFont val="맑은 고딕"/>
      </rPr>
      <t>할부</t>
    </r>
    <r>
      <rPr>
        <b/>
        <sz val="10"/>
        <color rgb="FF000000"/>
        <rFont val="Arial"/>
      </rPr>
      <t>)</t>
    </r>
  </si>
  <si>
    <r>
      <rPr>
        <b/>
        <sz val="10"/>
        <color rgb="FF000000"/>
        <rFont val="Noto Sans CJK SC"/>
      </rPr>
      <t xml:space="preserve"> ⑨</t>
    </r>
    <r>
      <rPr>
        <b/>
        <sz val="10"/>
        <color rgb="FF000000"/>
        <rFont val="Arial"/>
      </rPr>
      <t xml:space="preserve"> </t>
    </r>
    <r>
      <rPr>
        <b/>
        <sz val="10"/>
        <color rgb="FF000000"/>
        <rFont val="맑은 고딕"/>
      </rPr>
      <t>인도금(특장)</t>
    </r>
    <r>
      <rPr>
        <b/>
        <sz val="10"/>
        <color rgb="FF000000"/>
        <rFont val="Arial"/>
      </rPr>
      <t xml:space="preserve"> (</t>
    </r>
    <r>
      <rPr>
        <b/>
        <sz val="10"/>
        <color rgb="FF000000"/>
        <rFont val="맑은 고딕"/>
      </rPr>
      <t>특장구매금액</t>
    </r>
    <r>
      <rPr>
        <b/>
        <sz val="10"/>
        <color rgb="FF000000"/>
        <rFont val="Arial"/>
      </rPr>
      <t>-</t>
    </r>
    <r>
      <rPr>
        <b/>
        <sz val="10"/>
        <color rgb="FF000000"/>
        <rFont val="맑은 고딕"/>
      </rPr>
      <t>할부</t>
    </r>
    <r>
      <rPr>
        <b/>
        <sz val="10"/>
        <color rgb="FF000000"/>
        <rFont val="Arial"/>
      </rPr>
      <t>)</t>
    </r>
  </si>
  <si>
    <t>이용기간</t>
    <phoneticPr fontId="17" type="noConversion"/>
  </si>
  <si>
    <t xml:space="preserve"> 차량 취득세</t>
  </si>
  <si>
    <r>
      <t xml:space="preserve"> </t>
    </r>
    <r>
      <rPr>
        <sz val="10"/>
        <color rgb="FF000000"/>
        <rFont val="맑은 고딕"/>
        <family val="3"/>
        <charset val="129"/>
      </rPr>
      <t>특장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취득세</t>
    </r>
    <r>
      <rPr>
        <sz val="10"/>
        <color rgb="FF000000"/>
        <rFont val="Arial"/>
        <family val="2"/>
      </rPr>
      <t xml:space="preserve"> (2.0%)</t>
    </r>
    <phoneticPr fontId="17" type="noConversion"/>
  </si>
  <si>
    <t>월 납입금</t>
    <phoneticPr fontId="17" type="noConversion"/>
  </si>
  <si>
    <r>
      <t xml:space="preserve"> </t>
    </r>
    <r>
      <rPr>
        <sz val="10"/>
        <color rgb="FF000000"/>
        <rFont val="맑은 고딕"/>
        <family val="3"/>
        <charset val="129"/>
      </rPr>
      <t>공채할인액</t>
    </r>
    <phoneticPr fontId="17" type="noConversion"/>
  </si>
  <si>
    <t xml:space="preserve"> 등록부가수수료</t>
    <phoneticPr fontId="17" type="noConversion"/>
  </si>
  <si>
    <r>
      <t xml:space="preserve"> </t>
    </r>
    <r>
      <rPr>
        <sz val="10"/>
        <color rgb="FF000000"/>
        <rFont val="맑은 고딕"/>
        <family val="3"/>
        <charset val="129"/>
      </rPr>
      <t>번호판금액</t>
    </r>
    <phoneticPr fontId="17" type="noConversion"/>
  </si>
  <si>
    <t>부가세 환급 시 가격</t>
    <phoneticPr fontId="17" type="noConversion"/>
  </si>
  <si>
    <t xml:space="preserve"> 증지대</t>
  </si>
  <si>
    <t>메모/안내문</t>
  </si>
  <si>
    <r>
      <t xml:space="preserve"> </t>
    </r>
    <r>
      <rPr>
        <sz val="10"/>
        <color rgb="FF000000"/>
        <rFont val="맑은 고딕"/>
        <family val="3"/>
        <charset val="129"/>
      </rPr>
      <t>의무보험료</t>
    </r>
    <phoneticPr fontId="17" type="noConversion"/>
  </si>
  <si>
    <t>· 서비스 : 블랙박스, 썬팅, 온도기록계, 운전석 측 도어 추가</t>
  </si>
  <si>
    <r>
      <rPr>
        <sz val="10"/>
        <color rgb="FF000000"/>
        <rFont val="Noto Sans CJK SC"/>
      </rPr>
      <t xml:space="preserve"> </t>
    </r>
    <r>
      <rPr>
        <sz val="10"/>
        <color rgb="FF000000"/>
        <rFont val="맑은 고딕"/>
      </rPr>
      <t>등록대행료</t>
    </r>
  </si>
  <si>
    <t>고객님께서 꼭 알아두셔야 할 사항</t>
  </si>
  <si>
    <t xml:space="preserve"> ⑥ 등록/부대비용</t>
  </si>
  <si>
    <r>
      <rPr>
        <b/>
        <sz val="10"/>
        <color rgb="FF000000"/>
        <rFont val="Noto Sans CJK SC"/>
      </rPr>
      <t xml:space="preserve"> </t>
    </r>
    <r>
      <rPr>
        <b/>
        <sz val="12"/>
        <color rgb="FF000000"/>
        <rFont val="Segoe UI Symbol"/>
      </rPr>
      <t>⑩</t>
    </r>
    <r>
      <rPr>
        <b/>
        <sz val="10"/>
        <color rgb="FF000000"/>
        <rFont val="Arial"/>
      </rPr>
      <t xml:space="preserve"> </t>
    </r>
    <r>
      <rPr>
        <b/>
        <sz val="10"/>
        <color rgb="FF000000"/>
        <rFont val="맑은 고딕"/>
      </rPr>
      <t>등록/부대비용</t>
    </r>
  </si>
  <si>
    <r>
      <rPr>
        <sz val="9"/>
        <color rgb="FF404040"/>
        <rFont val="Malgun Gothic"/>
      </rPr>
      <t xml:space="preserve">· </t>
    </r>
    <r>
      <rPr>
        <sz val="9"/>
        <color rgb="FF404040"/>
        <rFont val="Noto Sans CJK SC"/>
      </rPr>
      <t>탁송료 및 보조금 등은 차량 출고 시점에 따라 변경될 수 있습니다</t>
    </r>
    <r>
      <rPr>
        <sz val="9"/>
        <color rgb="FF404040"/>
        <rFont val="Malgun Gothic"/>
      </rPr>
      <t>.</t>
    </r>
  </si>
  <si>
    <r>
      <rPr>
        <b/>
        <sz val="10"/>
        <color rgb="FF000000"/>
        <rFont val="Noto Sans CJK SC"/>
      </rPr>
      <t xml:space="preserve"> </t>
    </r>
    <r>
      <rPr>
        <b/>
        <sz val="10"/>
        <color rgb="FF000000"/>
        <rFont val="맑은 고딕"/>
      </rPr>
      <t>차량</t>
    </r>
    <r>
      <rPr>
        <b/>
        <sz val="10"/>
        <color rgb="FF000000"/>
        <rFont val="Arial"/>
      </rPr>
      <t xml:space="preserve"> </t>
    </r>
    <r>
      <rPr>
        <b/>
        <sz val="10"/>
        <color rgb="FF000000"/>
        <rFont val="맑은 고딕"/>
      </rPr>
      <t>초기</t>
    </r>
    <r>
      <rPr>
        <b/>
        <sz val="10"/>
        <color rgb="FF000000"/>
        <rFont val="Noto Sans CJK SC"/>
      </rPr>
      <t xml:space="preserve"> </t>
    </r>
    <r>
      <rPr>
        <b/>
        <sz val="10"/>
        <color rgb="FF000000"/>
        <rFont val="맑은 고딕"/>
      </rPr>
      <t>납부</t>
    </r>
    <r>
      <rPr>
        <b/>
        <sz val="10"/>
        <color rgb="FF000000"/>
        <rFont val="Noto Sans CJK SC"/>
      </rPr>
      <t xml:space="preserve"> </t>
    </r>
    <r>
      <rPr>
        <b/>
        <sz val="10"/>
        <color rgb="FF000000"/>
        <rFont val="맑은 고딕"/>
      </rPr>
      <t>금액</t>
    </r>
    <r>
      <rPr>
        <b/>
        <sz val="10"/>
        <color rgb="FF000000"/>
        <rFont val="Noto Sans CJK SC"/>
      </rPr>
      <t xml:space="preserve">  (⑤ + ⑥)</t>
    </r>
  </si>
  <si>
    <r>
      <rPr>
        <b/>
        <sz val="10"/>
        <color rgb="FF000000"/>
        <rFont val="Noto Sans CJK SC"/>
      </rPr>
      <t xml:space="preserve"> 특장</t>
    </r>
    <r>
      <rPr>
        <b/>
        <sz val="10"/>
        <color rgb="FF000000"/>
        <rFont val="Arial"/>
      </rPr>
      <t xml:space="preserve"> </t>
    </r>
    <r>
      <rPr>
        <b/>
        <sz val="10"/>
        <color rgb="FF000000"/>
        <rFont val="맑은 고딕"/>
      </rPr>
      <t>초기</t>
    </r>
    <r>
      <rPr>
        <b/>
        <sz val="10"/>
        <color rgb="FF000000"/>
        <rFont val="Noto Sans CJK SC"/>
      </rPr>
      <t xml:space="preserve"> </t>
    </r>
    <r>
      <rPr>
        <b/>
        <sz val="10"/>
        <color rgb="FF000000"/>
        <rFont val="맑은 고딕"/>
      </rPr>
      <t>납부</t>
    </r>
    <r>
      <rPr>
        <b/>
        <sz val="10"/>
        <color rgb="FF000000"/>
        <rFont val="Noto Sans CJK SC"/>
      </rPr>
      <t xml:space="preserve"> </t>
    </r>
    <r>
      <rPr>
        <b/>
        <sz val="10"/>
        <color rgb="FF000000"/>
        <rFont val="맑은 고딕"/>
      </rPr>
      <t>금액</t>
    </r>
    <r>
      <rPr>
        <b/>
        <sz val="10"/>
        <color rgb="FF000000"/>
        <rFont val="Noto Sans CJK SC"/>
      </rPr>
      <t xml:space="preserve">  (⑨+⑩)</t>
    </r>
  </si>
  <si>
    <r>
      <rPr>
        <sz val="9"/>
        <color rgb="FF404040"/>
        <rFont val="Malgun Gothic"/>
      </rPr>
      <t xml:space="preserve">· </t>
    </r>
    <r>
      <rPr>
        <sz val="9"/>
        <color rgb="FF404040"/>
        <rFont val="Noto Sans CJK SC"/>
      </rPr>
      <t>당사의 프로모션은 매달 변경될 수 있습니다</t>
    </r>
    <r>
      <rPr>
        <sz val="9"/>
        <color rgb="FF404040"/>
        <rFont val="Malgun Gothic"/>
      </rPr>
      <t>.</t>
    </r>
  </si>
  <si>
    <t>[ 특장 옵션(적재함 사양)(VAT 포함) ]</t>
  </si>
  <si>
    <t>[ 특장 옵션(도어 종류)(VAT 포함) ]</t>
  </si>
  <si>
    <t>[ 특장 옵션(도어 추가)(VAT 포함) ]</t>
  </si>
  <si>
    <t>[ 특장 옵션(기타)(VAT 포함) ]</t>
  </si>
  <si>
    <t>보조금</t>
  </si>
  <si>
    <t>탁송료</t>
  </si>
  <si>
    <t>[ 차량 옵션(VAT 포함) ]</t>
  </si>
  <si>
    <t>[ 스포일러(VAT 포함) ]</t>
  </si>
  <si>
    <t>[KIA 견적서 변동사항]</t>
  </si>
  <si>
    <t>[국고보조금]</t>
  </si>
  <si>
    <t>[EV 견적서 변동사항]</t>
  </si>
  <si>
    <t>[할부개월수]</t>
  </si>
  <si>
    <t>내장저상</t>
  </si>
  <si>
    <t>냉장/냉동저상여닫이</t>
  </si>
  <si>
    <t>냉장/냉동저상여닫이O</t>
  </si>
  <si>
    <t>표준격벽그물망</t>
  </si>
  <si>
    <t>강원 강릉시</t>
  </si>
  <si>
    <t>베이직</t>
  </si>
  <si>
    <t>현대커머셜 할인</t>
  </si>
  <si>
    <t>국고보조금</t>
  </si>
  <si>
    <t>등록부가수수료</t>
  </si>
  <si>
    <t>일시불</t>
  </si>
  <si>
    <t>내장표준</t>
  </si>
  <si>
    <t>냉장/냉동저상슬라이딩</t>
  </si>
  <si>
    <t>냉장/냉동저상슬라이딩O</t>
  </si>
  <si>
    <t>저상격벽그물망</t>
  </si>
  <si>
    <t>강원 고성군</t>
  </si>
  <si>
    <t>공식 파트너십 할인</t>
  </si>
  <si>
    <t>냉장/냉동저상</t>
  </si>
  <si>
    <t>냉장/냉동저상EV미닫이(냉동전용)</t>
  </si>
  <si>
    <t>냉장/냉동저상EV미닫이(냉동전용)O</t>
  </si>
  <si>
    <t>표준격벽냉장/냉동 이동식</t>
  </si>
  <si>
    <t>강원 동해시</t>
  </si>
  <si>
    <t>냉장/냉동표준</t>
  </si>
  <si>
    <t>냉장/냉동저상쿠팡미닫이(내장전용)</t>
  </si>
  <si>
    <t>냉장/냉동저상쿠팡미닫이(내장전용)O</t>
  </si>
  <si>
    <t>저상격벽냉장/냉동 이동식</t>
  </si>
  <si>
    <t>강원 삼척시</t>
  </si>
  <si>
    <t>증지대</t>
  </si>
  <si>
    <t>냉장/냉동표준여닫이</t>
  </si>
  <si>
    <t>냉장/냉동표준여닫이O</t>
  </si>
  <si>
    <t>표준격벽X</t>
  </si>
  <si>
    <t>강원 속초시</t>
  </si>
  <si>
    <t>번호판금액</t>
  </si>
  <si>
    <t>냉장/냉동표준슬라이딩</t>
  </si>
  <si>
    <t>냉장/냉동표준슬라이딩O</t>
  </si>
  <si>
    <t>저상격벽X</t>
  </si>
  <si>
    <t>강원 양구군</t>
  </si>
  <si>
    <t>등록대행료</t>
  </si>
  <si>
    <t>냉장/냉동표준EV미닫이(냉동전용)</t>
  </si>
  <si>
    <t>냉장/냉동표준EV미닫이(냉동전용)O</t>
  </si>
  <si>
    <t>온도기록계O</t>
  </si>
  <si>
    <t>강원 양양군</t>
  </si>
  <si>
    <t>의무보험료</t>
  </si>
  <si>
    <t>냉장/냉동표준쿠팡미닫이(내장전용)</t>
  </si>
  <si>
    <t>냉장/냉동표준쿠팡미닫이(내장전용)O</t>
  </si>
  <si>
    <t>온도기록계X</t>
  </si>
  <si>
    <t>강원 영월군</t>
  </si>
  <si>
    <t>공채할인액</t>
  </si>
  <si>
    <t>내장저상여닫이</t>
  </si>
  <si>
    <t>내장저상여닫이O</t>
  </si>
  <si>
    <t>강원 원주시</t>
  </si>
  <si>
    <t>내장저상슬라이딩</t>
  </si>
  <si>
    <t>내장저상슬라이딩O</t>
  </si>
  <si>
    <t>강원 인제군</t>
  </si>
  <si>
    <t>내장저상EV미닫이(냉동전용)</t>
  </si>
  <si>
    <t>내장저상EV미닫이(냉동전용)O</t>
  </si>
  <si>
    <t>강원 정선군</t>
  </si>
  <si>
    <t>내장저상쿠팡미닫이(내장전용)</t>
  </si>
  <si>
    <t>내장저상쿠팡미닫이(내장전용)O</t>
  </si>
  <si>
    <t>강원 철원군</t>
  </si>
  <si>
    <t>내장표준여닫이</t>
  </si>
  <si>
    <t>내장표준여닫이O</t>
  </si>
  <si>
    <t>강원 춘천시</t>
  </si>
  <si>
    <t>내장표준슬라이딩</t>
  </si>
  <si>
    <t>내장표준슬라이딩O</t>
  </si>
  <si>
    <t>강원 태백시</t>
  </si>
  <si>
    <t>내장표준EV미닫이(냉동전용)</t>
  </si>
  <si>
    <t>내장표준EV미닫이(냉동전용)O</t>
  </si>
  <si>
    <t>강원 평창군</t>
  </si>
  <si>
    <t>내장표준쿠팡미닫이(내장전용)</t>
  </si>
  <si>
    <t>내장표준쿠팡미닫이(내장전용)O</t>
  </si>
  <si>
    <t>강원 홍천군</t>
  </si>
  <si>
    <t>강원 화천군</t>
  </si>
  <si>
    <t>강원 횡성군</t>
  </si>
  <si>
    <t>경기 가평군</t>
  </si>
  <si>
    <t>경기 고양시</t>
  </si>
  <si>
    <t>경기 과천시</t>
  </si>
  <si>
    <t>경기 광명시</t>
  </si>
  <si>
    <t>경기 광주시</t>
  </si>
  <si>
    <t>경기 구리시</t>
  </si>
  <si>
    <t>경기 김포시</t>
  </si>
  <si>
    <t>경기 남양주시</t>
  </si>
  <si>
    <t>경기 동두천시</t>
  </si>
  <si>
    <t>경기 부천시</t>
  </si>
  <si>
    <t>경기 성남시</t>
  </si>
  <si>
    <t>경기 수원시</t>
  </si>
  <si>
    <t>경기 시흥시</t>
  </si>
  <si>
    <t>경기 안산시</t>
  </si>
  <si>
    <t>경기 안성시</t>
  </si>
  <si>
    <t>경기 안양시</t>
  </si>
  <si>
    <t>경기 양주시</t>
  </si>
  <si>
    <t>경기 양평군</t>
  </si>
  <si>
    <t>경기 여주시</t>
  </si>
  <si>
    <t>경기 연천군</t>
  </si>
  <si>
    <t>경기 오산시</t>
  </si>
  <si>
    <t>경기 용인시</t>
  </si>
  <si>
    <t>경기 의왕시</t>
  </si>
  <si>
    <t>경기 의정부시</t>
  </si>
  <si>
    <t>경기 이천시</t>
  </si>
  <si>
    <t>경기 파주시</t>
  </si>
  <si>
    <t>경기 평택시</t>
  </si>
  <si>
    <t>경기 포천시</t>
  </si>
  <si>
    <t>경기 하남시</t>
  </si>
  <si>
    <t>경기 화성시</t>
  </si>
  <si>
    <t>경남 거제시</t>
  </si>
  <si>
    <t>경남 거창군</t>
  </si>
  <si>
    <t>경남 고성군</t>
  </si>
  <si>
    <t>경남 김해시</t>
  </si>
  <si>
    <t>경남 남해군</t>
  </si>
  <si>
    <t>경남 밀양시</t>
  </si>
  <si>
    <t>경남 사천시</t>
  </si>
  <si>
    <t>경남 산청군</t>
  </si>
  <si>
    <t>경남 양산시</t>
  </si>
  <si>
    <t>경남 의령군</t>
  </si>
  <si>
    <t>경남 진주시</t>
  </si>
  <si>
    <t>경남 창녕군</t>
  </si>
  <si>
    <t>경남 창원시</t>
  </si>
  <si>
    <t>경남 통영시</t>
  </si>
  <si>
    <t>경남 하동군</t>
  </si>
  <si>
    <t>경남 함안군</t>
  </si>
  <si>
    <t>경남 함양군</t>
  </si>
  <si>
    <t>경남 합천군</t>
  </si>
  <si>
    <t>경북 경산시</t>
  </si>
  <si>
    <t>경북 경주시</t>
  </si>
  <si>
    <t>경북 고령군</t>
  </si>
  <si>
    <t>경북 구미시</t>
  </si>
  <si>
    <t>경북 김천시</t>
  </si>
  <si>
    <t>경북 문경시</t>
  </si>
  <si>
    <t>경북 봉화군</t>
  </si>
  <si>
    <t>경북 상주시</t>
  </si>
  <si>
    <t>경북 성주군</t>
  </si>
  <si>
    <t>경북 안동시</t>
  </si>
  <si>
    <t>경북 영덕군</t>
  </si>
  <si>
    <t>경북 영양군</t>
  </si>
  <si>
    <t>경북 영주시</t>
  </si>
  <si>
    <t>경북 영천시</t>
  </si>
  <si>
    <t>경북 예천군</t>
  </si>
  <si>
    <t>경북 울릉군</t>
  </si>
  <si>
    <t>경북 울진군</t>
  </si>
  <si>
    <t>경북 의성군</t>
  </si>
  <si>
    <t>경북 청도군</t>
  </si>
  <si>
    <t>경북 청송군</t>
  </si>
  <si>
    <t>경북 칠곡군</t>
  </si>
  <si>
    <t>경북 포항시</t>
  </si>
  <si>
    <t>공단 한국환경공단</t>
  </si>
  <si>
    <t xml:space="preserve">  </t>
    <phoneticPr fontId="1" type="noConversion"/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</si>
  <si>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</si>
  <si>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</si>
  <si>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</si>
  <si>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</si>
  <si>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</si>
  <si>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</si>
  <si>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</si>
  <si>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</si>
  <si>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전남 강진군</t>
  </si>
  <si>
    <t>전남 고흥군</t>
  </si>
  <si>
    <t>전남 곡성군</t>
  </si>
  <si>
    <t>전남 광양시</t>
  </si>
  <si>
    <t>전남 구례군</t>
  </si>
  <si>
    <t>전남 나주시</t>
  </si>
  <si>
    <t>전남 담양군</t>
  </si>
  <si>
    <t>전남 목포시</t>
  </si>
  <si>
    <t>전남 무안군</t>
  </si>
  <si>
    <t>전남 보성군</t>
  </si>
  <si>
    <t>전남 순천시</t>
  </si>
  <si>
    <t>전남 신안군</t>
  </si>
  <si>
    <t>전남 여수시</t>
  </si>
  <si>
    <t>전남 영광군</t>
  </si>
  <si>
    <t>전남 영암군</t>
  </si>
  <si>
    <t>전남 완도군</t>
  </si>
  <si>
    <t>전남 장성군</t>
  </si>
  <si>
    <t>전남 장흥군</t>
  </si>
  <si>
    <t>전남 진도군</t>
  </si>
  <si>
    <t>전남 함평군</t>
  </si>
  <si>
    <t>전남 해남군</t>
  </si>
  <si>
    <t>전남 화순군</t>
  </si>
  <si>
    <t>전북 고창군</t>
  </si>
  <si>
    <t>전북 군산시</t>
  </si>
  <si>
    <t>전북 김제시</t>
  </si>
  <si>
    <t>전북 남원시</t>
  </si>
  <si>
    <t>전북 무주군</t>
  </si>
  <si>
    <t>전북 부안군</t>
  </si>
  <si>
    <t>전북 순창군</t>
  </si>
  <si>
    <t>전북 완주군</t>
  </si>
  <si>
    <t>전북 익산시</t>
  </si>
  <si>
    <t>전북 임실군</t>
  </si>
  <si>
    <t>전북 장수군</t>
  </si>
  <si>
    <t>전북 전주시</t>
  </si>
  <si>
    <t>전북 정읍시</t>
  </si>
  <si>
    <t>전북 진안군</t>
  </si>
  <si>
    <t>제주 제주특별자치도</t>
  </si>
  <si>
    <t>충남 계룡시</t>
  </si>
  <si>
    <t>충남 공주시</t>
  </si>
  <si>
    <t>충남 금산군</t>
  </si>
  <si>
    <t>충남 논산시</t>
  </si>
  <si>
    <t>충남 당진시</t>
  </si>
  <si>
    <t>충남 보령시</t>
  </si>
  <si>
    <t>충남 부여군</t>
  </si>
  <si>
    <t>충남 서산시</t>
  </si>
  <si>
    <t>충남 서천군</t>
  </si>
  <si>
    <t>충남 아산시</t>
  </si>
  <si>
    <t>충남 예산군</t>
  </si>
  <si>
    <t>충남 천안시</t>
  </si>
  <si>
    <t>충남 청양군</t>
  </si>
  <si>
    <t>충남 태안군</t>
  </si>
  <si>
    <t>충남 홍성군</t>
  </si>
  <si>
    <t>충북 괴산군</t>
  </si>
  <si>
    <t>충북 단양군</t>
  </si>
  <si>
    <t>충북 보은군</t>
  </si>
  <si>
    <t>충북 영동군</t>
  </si>
  <si>
    <t>충북 옥천군</t>
  </si>
  <si>
    <t>충북 음성군</t>
  </si>
  <si>
    <t>충북 제천시</t>
  </si>
  <si>
    <t>충북 증평군</t>
  </si>
  <si>
    <t>충북 진천군</t>
  </si>
  <si>
    <t>충북 청주시</t>
  </si>
  <si>
    <t>충북 충주시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</si>
</sst>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₩&quot;#,##0;[Red]\-&quot;₩&quot;#,##0"/>
    <numFmt numFmtId="41" formatCode="_-* #,##0_-;\-* #,##0_-;_-* &quot;-&quot;_-;_-@_-"/>
    <numFmt numFmtId="43" formatCode="_-* #,##0.00_-;\-* #,##0.00_-;_-* &quot;-&quot;??_-;_-@_-"/>
    <numFmt numFmtId="176" formatCode="#,##0&quot; 원&quot;;&quot;(-) &quot;#,##0&quot; 원&quot;"/>
    <numFmt numFmtId="177" formatCode="#,##0&quot; 원&quot;"/>
    <numFmt numFmtId="178" formatCode="#,##0&quot; 개월&quot;;&quot;(-) &quot;#,##0&quot; 개월&quot;"/>
    <numFmt numFmtId="179" formatCode="0_);[Red]\(0\)"/>
  </numFmts>
  <fonts count="52">
    <font>
      <sz val="11"/>
      <color theme="1"/>
      <name val="Calibri"/>
      <family val="2"/>
      <charset val="1"/>
    </font>
    <font>
      <sz val="10"/>
      <name val="Arial"/>
    </font>
    <font>
      <b/>
      <sz val="20"/>
      <name val="Malgun Gothic"/>
      <family val="3"/>
      <charset val="129"/>
    </font>
    <font>
      <sz val="10"/>
      <color rgb="FF404040"/>
      <name val="Noto Sans CJK SC"/>
      <charset val="1"/>
    </font>
    <font>
      <sz val="10"/>
      <name val="Noto Sans CJK SC"/>
      <family val="3"/>
      <charset val="129"/>
    </font>
    <font>
      <b/>
      <sz val="15"/>
      <name val="Malgun Gothic"/>
      <family val="3"/>
      <charset val="129"/>
    </font>
    <font>
      <sz val="10"/>
      <color rgb="FF000000"/>
      <name val="Noto Sans CJK SC"/>
      <family val="3"/>
      <charset val="129"/>
    </font>
    <font>
      <sz val="10"/>
      <name val="Malgun Gothic"/>
      <family val="3"/>
      <charset val="129"/>
    </font>
    <font>
      <b/>
      <sz val="11"/>
      <name val="Noto Sans CJK SC"/>
      <family val="3"/>
      <charset val="129"/>
    </font>
    <font>
      <b/>
      <sz val="10"/>
      <color rgb="FF000000"/>
      <name val="Noto Sans CJK SC"/>
      <family val="3"/>
      <charset val="129"/>
    </font>
    <font>
      <b/>
      <sz val="10"/>
      <name val="Malgun Gothic"/>
      <family val="3"/>
      <charset val="129"/>
    </font>
    <font>
      <sz val="9"/>
      <color rgb="FF40404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12"/>
      <color rgb="FF000000"/>
      <name val="Noto Sans CJK SC"/>
      <family val="3"/>
      <charset val="129"/>
    </font>
    <font>
      <b/>
      <sz val="12"/>
      <name val="Malgun Gothic"/>
      <family val="3"/>
      <charset val="129"/>
    </font>
    <font>
      <sz val="10"/>
      <name val="Noto Sans CJK SC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20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name val="맑은 고딕"/>
      <family val="2"/>
      <charset val="129"/>
    </font>
    <font>
      <b/>
      <sz val="11"/>
      <name val="맑은 고딕"/>
      <family val="3"/>
      <charset val="129"/>
    </font>
    <font>
      <b/>
      <sz val="11"/>
      <name val="Arial"/>
      <family val="2"/>
    </font>
    <font>
      <b/>
      <sz val="11"/>
      <name val="Noto Sans CJK SC"/>
      <family val="2"/>
      <charset val="129"/>
    </font>
    <font>
      <sz val="10"/>
      <color rgb="FF404040"/>
      <name val="맑은 고딕"/>
      <family val="3"/>
      <charset val="129"/>
    </font>
    <font>
      <sz val="10"/>
      <color rgb="FF404040"/>
      <name val="Noto Sans CJK SC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맑은 고딕"/>
      <family val="3"/>
      <charset val="129"/>
    </font>
    <font>
      <b/>
      <sz val="12"/>
      <color rgb="FF000000"/>
      <name val="Segoe UI Symbol"/>
      <family val="1"/>
    </font>
    <font>
      <sz val="10"/>
      <color rgb="FF000000"/>
      <name val="Noto Sans CJK SC"/>
      <family val="2"/>
      <charset val="129"/>
    </font>
    <font>
      <sz val="11"/>
      <color theme="1"/>
      <name val="돋움"/>
      <family val="2"/>
      <charset val="129"/>
    </font>
    <font>
      <b/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2"/>
      <scheme val="minor"/>
    </font>
    <font>
      <sz val="11"/>
      <color rgb="FF1F1F1F"/>
      <name val="Malgun Gothic"/>
      <family val="3"/>
      <charset val="129"/>
    </font>
    <font>
      <sz val="10"/>
      <color theme="1"/>
      <name val="Arial"/>
      <family val="2"/>
    </font>
    <font>
      <sz val="11"/>
      <color rgb="FF242424"/>
      <name val="Aptos Narrow"/>
      <family val="2"/>
    </font>
    <font>
      <b/>
      <sz val="10"/>
      <color rgb="FF000000"/>
      <name val="Noto Sans CJK SC"/>
    </font>
    <font>
      <b/>
      <sz val="12"/>
      <color rgb="FF000000"/>
      <name val="Segoe UI Symbol"/>
    </font>
    <font>
      <b/>
      <sz val="10"/>
      <color rgb="FF000000"/>
      <name val="Arial"/>
    </font>
    <font>
      <b/>
      <sz val="10"/>
      <color rgb="FF000000"/>
      <name val="맑은 고딕"/>
    </font>
    <font>
      <sz val="10"/>
      <color rgb="FF000000"/>
      <name val="맑은 고딕"/>
    </font>
    <font>
      <sz val="10"/>
      <color rgb="FF000000"/>
      <name val="Noto Sans CJK SC"/>
      <family val="2"/>
      <charset val="1"/>
    </font>
    <font>
      <sz val="10"/>
      <color rgb="FF000000"/>
      <name val="Noto Sans CJK SC"/>
    </font>
    <font>
      <b/>
      <sz val="10"/>
      <color rgb="FFFF0000"/>
      <name val="맑은 고딕"/>
      <family val="3"/>
      <charset val="129"/>
    </font>
    <font>
      <b/>
      <sz val="11"/>
      <color rgb="FFFF0000"/>
      <name val="Calibri"/>
      <family val="2"/>
      <charset val="1"/>
    </font>
    <font>
      <b/>
      <sz val="15"/>
      <color rgb="FF000000"/>
      <name val="Malgun Gothic"/>
      <family val="3"/>
      <charset val="129"/>
    </font>
    <font>
      <b/>
      <sz val="11"/>
      <color theme="0"/>
      <name val="맑은 고딕"/>
      <family val="2"/>
      <charset val="129"/>
      <scheme val="minor"/>
    </font>
    <font>
      <b/>
      <sz val="10"/>
      <color rgb="FF000000"/>
      <name val="Malgun Gothic"/>
    </font>
    <font>
      <sz val="9"/>
      <color rgb="FF404040"/>
      <name val="Malgun Gothic"/>
    </font>
    <font>
      <sz val="9"/>
      <color rgb="FF404040"/>
      <name val="Noto Sans CJK SC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tted">
        <color rgb="FFBFBFBF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rgb="FFBFBFBF"/>
      </top>
      <bottom style="medium">
        <color auto="1"/>
      </bottom>
      <diagonal/>
    </border>
    <border>
      <left/>
      <right/>
      <top style="dotted">
        <color rgb="FFBFBFBF"/>
      </top>
      <bottom style="hair">
        <color indexed="64"/>
      </bottom>
      <diagonal/>
    </border>
    <border>
      <left/>
      <right/>
      <top style="dotted">
        <color rgb="FFBFBFBF"/>
      </top>
      <bottom style="dotted">
        <color rgb="FFBFBFBF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41" fontId="1" fillId="0" borderId="0" applyBorder="0" applyAlignment="0" applyProtection="0"/>
  </cellStyleXfs>
  <cellXfs count="124">
    <xf numFmtId="0" fontId="0" fillId="0" borderId="0" xfId="0"/>
    <xf numFmtId="0" fontId="6" fillId="0" borderId="2" xfId="0" applyFont="1" applyBorder="1" applyAlignment="1">
      <alignment horizontal="left" vertical="center"/>
    </xf>
    <xf numFmtId="0" fontId="0" fillId="0" borderId="1" xfId="0" applyBorder="1"/>
    <xf numFmtId="176" fontId="7" fillId="0" borderId="2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176" fontId="10" fillId="0" borderId="3" xfId="0" applyNumberFormat="1" applyFont="1" applyBorder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2" fillId="0" borderId="0" xfId="0" applyFont="1"/>
    <xf numFmtId="0" fontId="9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177" fontId="14" fillId="2" borderId="1" xfId="0" applyNumberFormat="1" applyFont="1" applyFill="1" applyBorder="1" applyAlignment="1">
      <alignment horizontal="right" vertical="center"/>
    </xf>
    <xf numFmtId="177" fontId="14" fillId="3" borderId="1" xfId="0" applyNumberFormat="1" applyFont="1" applyFill="1" applyBorder="1" applyAlignment="1">
      <alignment horizontal="right" vertical="center"/>
    </xf>
    <xf numFmtId="0" fontId="0" fillId="0" borderId="3" xfId="0" applyBorder="1"/>
    <xf numFmtId="0" fontId="6" fillId="0" borderId="5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10" fontId="0" fillId="0" borderId="0" xfId="0" applyNumberFormat="1"/>
    <xf numFmtId="6" fontId="0" fillId="0" borderId="0" xfId="0" applyNumberFormat="1"/>
    <xf numFmtId="0" fontId="8" fillId="0" borderId="1" xfId="0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0" fillId="0" borderId="0" xfId="0" applyAlignment="1">
      <alignment vertic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 wrapText="1"/>
    </xf>
    <xf numFmtId="0" fontId="36" fillId="0" borderId="0" xfId="0" applyFont="1" applyAlignment="1">
      <alignment vertical="center"/>
    </xf>
    <xf numFmtId="3" fontId="36" fillId="0" borderId="0" xfId="0" applyNumberFormat="1" applyFont="1" applyAlignment="1">
      <alignment vertical="center"/>
    </xf>
    <xf numFmtId="1" fontId="0" fillId="0" borderId="0" xfId="0" applyNumberFormat="1" applyAlignment="1">
      <alignment vertical="center"/>
    </xf>
    <xf numFmtId="0" fontId="37" fillId="0" borderId="0" xfId="0" applyFont="1" applyAlignment="1">
      <alignment vertical="center"/>
    </xf>
    <xf numFmtId="43" fontId="0" fillId="0" borderId="0" xfId="0" applyNumberFormat="1"/>
    <xf numFmtId="0" fontId="25" fillId="0" borderId="0" xfId="0" applyFont="1" applyAlignment="1">
      <alignment horizontal="left" vertical="center"/>
    </xf>
    <xf numFmtId="0" fontId="48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48" fillId="4" borderId="9" xfId="0" applyFont="1" applyFill="1" applyBorder="1" applyAlignment="1">
      <alignment horizontal="center" vertical="center"/>
    </xf>
    <xf numFmtId="0" fontId="48" fillId="4" borderId="8" xfId="0" applyFont="1" applyFill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0" xfId="0" quotePrefix="1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33" fillId="6" borderId="17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6" fillId="8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0" borderId="10" xfId="0" applyBorder="1"/>
    <xf numFmtId="0" fontId="9" fillId="9" borderId="3" xfId="0" applyFont="1" applyFill="1" applyBorder="1" applyAlignment="1">
      <alignment horizontal="left" vertical="center"/>
    </xf>
    <xf numFmtId="176" fontId="10" fillId="8" borderId="3" xfId="0" applyNumberFormat="1" applyFont="1" applyFill="1" applyBorder="1" applyAlignment="1">
      <alignment horizontal="right" vertical="center"/>
    </xf>
    <xf numFmtId="176" fontId="7" fillId="8" borderId="2" xfId="0" applyNumberFormat="1" applyFont="1" applyFill="1" applyBorder="1" applyAlignment="1">
      <alignment horizontal="right" vertical="center"/>
    </xf>
    <xf numFmtId="176" fontId="7" fillId="9" borderId="2" xfId="0" applyNumberFormat="1" applyFont="1" applyFill="1" applyBorder="1" applyAlignment="1">
      <alignment horizontal="right" vertical="center"/>
    </xf>
    <xf numFmtId="176" fontId="10" fillId="9" borderId="3" xfId="0" applyNumberFormat="1" applyFont="1" applyFill="1" applyBorder="1" applyAlignment="1">
      <alignment horizontal="right" vertical="center"/>
    </xf>
    <xf numFmtId="0" fontId="6" fillId="9" borderId="2" xfId="0" applyFont="1" applyFill="1" applyBorder="1" applyAlignment="1">
      <alignment vertical="center"/>
    </xf>
    <xf numFmtId="0" fontId="6" fillId="9" borderId="5" xfId="0" applyFont="1" applyFill="1" applyBorder="1" applyAlignment="1">
      <alignment vertical="center"/>
    </xf>
    <xf numFmtId="176" fontId="7" fillId="9" borderId="5" xfId="0" applyNumberFormat="1" applyFont="1" applyFill="1" applyBorder="1" applyAlignment="1">
      <alignment horizontal="right" vertical="center"/>
    </xf>
    <xf numFmtId="0" fontId="12" fillId="9" borderId="4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left" vertical="center"/>
    </xf>
    <xf numFmtId="176" fontId="10" fillId="9" borderId="1" xfId="0" applyNumberFormat="1" applyFont="1" applyFill="1" applyBorder="1" applyAlignment="1">
      <alignment horizontal="right" vertical="center"/>
    </xf>
    <xf numFmtId="0" fontId="0" fillId="9" borderId="22" xfId="0" applyFill="1" applyBorder="1"/>
    <xf numFmtId="0" fontId="0" fillId="0" borderId="22" xfId="0" applyBorder="1"/>
    <xf numFmtId="0" fontId="9" fillId="9" borderId="4" xfId="0" applyFont="1" applyFill="1" applyBorder="1" applyAlignment="1">
      <alignment horizontal="left" vertical="center"/>
    </xf>
    <xf numFmtId="177" fontId="10" fillId="9" borderId="4" xfId="0" applyNumberFormat="1" applyFont="1" applyFill="1" applyBorder="1" applyAlignment="1">
      <alignment horizontal="right" vertical="center"/>
    </xf>
    <xf numFmtId="0" fontId="0" fillId="8" borderId="16" xfId="0" applyFill="1" applyBorder="1"/>
    <xf numFmtId="0" fontId="0" fillId="0" borderId="16" xfId="0" applyBorder="1"/>
    <xf numFmtId="0" fontId="6" fillId="11" borderId="2" xfId="0" applyFont="1" applyFill="1" applyBorder="1" applyAlignment="1">
      <alignment horizontal="left" vertical="center"/>
    </xf>
    <xf numFmtId="176" fontId="7" fillId="11" borderId="2" xfId="0" applyNumberFormat="1" applyFont="1" applyFill="1" applyBorder="1" applyAlignment="1">
      <alignment horizontal="right" vertical="center"/>
    </xf>
    <xf numFmtId="0" fontId="31" fillId="8" borderId="2" xfId="0" applyFont="1" applyFill="1" applyBorder="1" applyAlignment="1">
      <alignment vertical="center"/>
    </xf>
    <xf numFmtId="0" fontId="6" fillId="8" borderId="2" xfId="0" applyFont="1" applyFill="1" applyBorder="1" applyAlignment="1">
      <alignment vertical="center"/>
    </xf>
    <xf numFmtId="0" fontId="15" fillId="8" borderId="2" xfId="0" applyFont="1" applyFill="1" applyBorder="1" applyAlignment="1">
      <alignment vertical="center"/>
    </xf>
    <xf numFmtId="0" fontId="4" fillId="8" borderId="2" xfId="0" applyFont="1" applyFill="1" applyBorder="1" applyAlignment="1">
      <alignment vertical="center"/>
    </xf>
    <xf numFmtId="176" fontId="7" fillId="8" borderId="0" xfId="0" applyNumberFormat="1" applyFont="1" applyFill="1" applyAlignment="1">
      <alignment horizontal="right" vertical="center"/>
    </xf>
    <xf numFmtId="0" fontId="6" fillId="12" borderId="2" xfId="0" applyFont="1" applyFill="1" applyBorder="1" applyAlignment="1">
      <alignment horizontal="left" vertical="center"/>
    </xf>
    <xf numFmtId="176" fontId="7" fillId="12" borderId="2" xfId="0" applyNumberFormat="1" applyFont="1" applyFill="1" applyBorder="1" applyAlignment="1">
      <alignment horizontal="right" vertical="center"/>
    </xf>
    <xf numFmtId="0" fontId="0" fillId="12" borderId="10" xfId="0" applyFill="1" applyBorder="1"/>
    <xf numFmtId="0" fontId="9" fillId="9" borderId="1" xfId="0" applyFont="1" applyFill="1" applyBorder="1" applyAlignment="1">
      <alignment horizontal="left" vertical="center"/>
    </xf>
    <xf numFmtId="0" fontId="6" fillId="8" borderId="6" xfId="0" applyFont="1" applyFill="1" applyBorder="1" applyAlignment="1">
      <alignment horizontal="left" vertical="center"/>
    </xf>
    <xf numFmtId="9" fontId="0" fillId="0" borderId="10" xfId="0" applyNumberFormat="1" applyBorder="1" applyAlignment="1">
      <alignment horizontal="center" vertical="center"/>
    </xf>
    <xf numFmtId="0" fontId="24" fillId="8" borderId="0" xfId="0" applyFont="1" applyFill="1" applyAlignment="1">
      <alignment horizontal="left" vertical="center"/>
    </xf>
    <xf numFmtId="10" fontId="0" fillId="8" borderId="0" xfId="0" applyNumberFormat="1" applyFill="1"/>
    <xf numFmtId="0" fontId="24" fillId="9" borderId="0" xfId="0" applyFont="1" applyFill="1" applyAlignment="1">
      <alignment horizontal="left" vertical="center"/>
    </xf>
    <xf numFmtId="6" fontId="0" fillId="9" borderId="0" xfId="0" applyNumberFormat="1" applyFill="1"/>
    <xf numFmtId="179" fontId="0" fillId="0" borderId="10" xfId="0" applyNumberFormat="1" applyBorder="1" applyAlignment="1">
      <alignment horizontal="center" vertical="center"/>
    </xf>
    <xf numFmtId="0" fontId="3" fillId="12" borderId="0" xfId="0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45" fillId="9" borderId="0" xfId="0" applyFont="1" applyFill="1" applyAlignment="1">
      <alignment horizontal="left" vertical="center"/>
    </xf>
    <xf numFmtId="0" fontId="46" fillId="9" borderId="0" xfId="0" applyFont="1" applyFill="1"/>
    <xf numFmtId="6" fontId="46" fillId="9" borderId="0" xfId="0" applyNumberFormat="1" applyFont="1" applyFill="1"/>
    <xf numFmtId="0" fontId="0" fillId="13" borderId="0" xfId="0" applyFill="1"/>
    <xf numFmtId="0" fontId="0" fillId="13" borderId="10" xfId="0" applyFill="1" applyBorder="1"/>
    <xf numFmtId="0" fontId="0" fillId="10" borderId="16" xfId="0" applyFill="1" applyBorder="1"/>
    <xf numFmtId="0" fontId="3" fillId="13" borderId="0" xfId="0" applyFont="1" applyFill="1" applyAlignment="1">
      <alignment horizontal="left" vertical="center"/>
    </xf>
    <xf numFmtId="0" fontId="4" fillId="13" borderId="0" xfId="0" applyFont="1" applyFill="1" applyAlignment="1">
      <alignment horizontal="left" vertical="center"/>
    </xf>
    <xf numFmtId="9" fontId="4" fillId="13" borderId="0" xfId="0" applyNumberFormat="1" applyFont="1" applyFill="1" applyAlignment="1">
      <alignment horizontal="left" vertical="center"/>
    </xf>
    <xf numFmtId="0" fontId="24" fillId="13" borderId="0" xfId="0" applyFont="1" applyFill="1" applyAlignment="1">
      <alignment horizontal="left" vertical="center"/>
    </xf>
    <xf numFmtId="178" fontId="7" fillId="13" borderId="2" xfId="0" applyNumberFormat="1" applyFont="1" applyFill="1" applyBorder="1" applyAlignment="1">
      <alignment horizontal="right" vertical="center"/>
    </xf>
    <xf numFmtId="176" fontId="7" fillId="13" borderId="0" xfId="0" applyNumberFormat="1" applyFont="1" applyFill="1" applyAlignment="1">
      <alignment horizontal="right" vertical="center"/>
    </xf>
    <xf numFmtId="0" fontId="0" fillId="13" borderId="23" xfId="0" applyFill="1" applyBorder="1"/>
    <xf numFmtId="0" fontId="33" fillId="7" borderId="11" xfId="0" applyFont="1" applyFill="1" applyBorder="1" applyAlignment="1">
      <alignment horizontal="center" vertical="center" wrapText="1"/>
    </xf>
    <xf numFmtId="0" fontId="33" fillId="7" borderId="15" xfId="0" applyFont="1" applyFill="1" applyBorder="1" applyAlignment="1">
      <alignment horizontal="center" vertical="center" wrapText="1"/>
    </xf>
    <xf numFmtId="0" fontId="33" fillId="7" borderId="12" xfId="0" applyFont="1" applyFill="1" applyBorder="1" applyAlignment="1">
      <alignment horizontal="center" vertical="center" wrapText="1"/>
    </xf>
    <xf numFmtId="0" fontId="33" fillId="7" borderId="13" xfId="0" applyFont="1" applyFill="1" applyBorder="1" applyAlignment="1">
      <alignment horizontal="center" vertical="center" wrapText="1"/>
    </xf>
    <xf numFmtId="0" fontId="48" fillId="5" borderId="18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41" fontId="1" fillId="9" borderId="7" xfId="1" applyFill="1" applyBorder="1" applyAlignment="1">
      <alignment horizontal="center"/>
    </xf>
    <xf numFmtId="0" fontId="6" fillId="13" borderId="2" xfId="0" applyFont="1" applyFill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9" fillId="9" borderId="3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8" borderId="3" xfId="0" applyFont="1" applyFill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57E60-CF85-46E2-B565-7095B0582447}">
  <dimension ref="B2:G17"/>
  <sheetViews>
    <sheetView workbookViewId="0">
      <selection activeCell="J28" sqref="J28"/>
    </sheetView>
  </sheetViews>
  <sheetFormatPr defaultRowHeight="15"/>
  <cols>
    <col min="2" max="2" width="28.28515625" customWidth="1"/>
    <col min="3" max="3" width="29.7109375" style="32" customWidth="1"/>
    <col min="4" max="4" width="19.140625" customWidth="1"/>
    <col min="5" max="5" width="14.28515625" customWidth="1"/>
    <col min="6" max="6" width="22.85546875" customWidth="1"/>
    <col min="7" max="7" width="26.5703125" customWidth="1"/>
  </cols>
  <sheetData>
    <row r="2" spans="2:7" ht="16.5">
      <c r="B2" s="34" t="s">
        <v>0</v>
      </c>
      <c r="C2" s="33" t="s">
        <v>1</v>
      </c>
      <c r="F2" s="35" t="s">
        <v>2</v>
      </c>
      <c r="G2" s="36">
        <v>46237</v>
      </c>
    </row>
    <row r="3" spans="2:7" ht="16.5">
      <c r="B3" s="34" t="s">
        <v>3</v>
      </c>
      <c r="C3" s="33" t="s">
        <v>4</v>
      </c>
      <c r="F3" s="35" t="s">
        <v>5</v>
      </c>
      <c r="G3" s="37" t="s">
        <v>6</v>
      </c>
    </row>
    <row r="4" spans="2:7" ht="16.5">
      <c r="B4" s="34" t="s">
        <v>7</v>
      </c>
      <c r="C4" s="33" t="s">
        <v>8</v>
      </c>
      <c r="F4" s="35" t="s">
        <v>9</v>
      </c>
      <c r="G4" s="33" t="s">
        <v>10</v>
      </c>
    </row>
    <row r="5" spans="2:7" ht="16.5">
      <c r="B5" s="31" t="s">
        <v>11</v>
      </c>
      <c r="C5" s="33" t="s">
        <v>12</v>
      </c>
      <c r="F5" s="35" t="s">
        <v>13</v>
      </c>
      <c r="G5" s="84">
        <v>0.3</v>
      </c>
    </row>
    <row r="6" spans="2:7" ht="16.5">
      <c r="B6" s="31" t="s">
        <v>14</v>
      </c>
      <c r="C6" s="33" t="s">
        <v>8</v>
      </c>
      <c r="F6" s="35" t="s">
        <v>15</v>
      </c>
      <c r="G6" s="89">
        <v>60</v>
      </c>
    </row>
    <row r="7" spans="2:7" ht="16.5">
      <c r="B7" s="31" t="s">
        <v>16</v>
      </c>
      <c r="C7" s="33" t="s">
        <v>8</v>
      </c>
    </row>
    <row r="9" spans="2:7" ht="16.5">
      <c r="B9" s="109" t="s">
        <v>17</v>
      </c>
      <c r="C9" s="109"/>
      <c r="D9" s="109"/>
    </row>
    <row r="10" spans="2:7" ht="23.25" customHeight="1">
      <c r="B10" s="47" t="s">
        <v>18</v>
      </c>
      <c r="C10" s="43" t="s">
        <v>19</v>
      </c>
      <c r="D10" s="46" t="s">
        <v>20</v>
      </c>
    </row>
    <row r="11" spans="2:7">
      <c r="B11" s="105" t="s">
        <v>21</v>
      </c>
      <c r="C11" s="38" t="s">
        <v>22</v>
      </c>
      <c r="D11" s="39" t="s">
        <v>23</v>
      </c>
    </row>
    <row r="12" spans="2:7">
      <c r="B12" s="106"/>
      <c r="C12" s="44" t="s">
        <v>24</v>
      </c>
      <c r="D12" s="40" t="s">
        <v>25</v>
      </c>
    </row>
    <row r="13" spans="2:7">
      <c r="B13" s="106"/>
      <c r="C13" s="45" t="s">
        <v>26</v>
      </c>
      <c r="D13" s="40" t="s">
        <v>27</v>
      </c>
    </row>
    <row r="14" spans="2:7">
      <c r="B14" s="107"/>
      <c r="C14" s="41" t="s">
        <v>28</v>
      </c>
      <c r="D14" s="40" t="s">
        <v>29</v>
      </c>
    </row>
    <row r="15" spans="2:7">
      <c r="B15" s="107"/>
      <c r="C15" s="42" t="s">
        <v>30</v>
      </c>
      <c r="D15" s="40" t="s">
        <v>8</v>
      </c>
    </row>
    <row r="16" spans="2:7">
      <c r="B16" s="107"/>
      <c r="C16" s="42" t="s">
        <v>31</v>
      </c>
      <c r="D16" s="40" t="s">
        <v>8</v>
      </c>
    </row>
    <row r="17" spans="2:4">
      <c r="B17" s="108"/>
      <c r="C17" s="42" t="s">
        <v>32</v>
      </c>
      <c r="D17" s="39" t="s">
        <v>33</v>
      </c>
    </row>
  </sheetData>
  <mergeCells count="2">
    <mergeCell ref="B11:B17"/>
    <mergeCell ref="B9:D9"/>
  </mergeCells>
  <dataValidations count="12">
    <dataValidation type="list" allowBlank="1" showInputMessage="1" showErrorMessage="1" sqref="C6:C7 C4 D13" xr:uid="{0ED4A877-3E45-4DBA-86F9-2E3F3FF0B251}">
      <formula1>"O,X"</formula1>
    </dataValidation>
    <dataValidation type="list" allowBlank="1" showInputMessage="1" showErrorMessage="1" sqref="C3" xr:uid="{7D9491D5-7CD2-4571-9572-233031825A1A}">
      <formula1>"개인사업자,간이과세자,법인사업자,기타"</formula1>
    </dataValidation>
    <dataValidation type="list" allowBlank="1" showInputMessage="1" showErrorMessage="1" sqref="C5" xr:uid="{D5B10A85-FEB8-4830-8738-640669AA0927}">
      <formula1>"경유차없음, 경유차 유지 후 전기차 전환, 경유차 폐차 후 전기차 전환"</formula1>
    </dataValidation>
    <dataValidation type="list" allowBlank="1" showInputMessage="1" showErrorMessage="1" sqref="D12" xr:uid="{8545AFFE-E559-457F-827B-BE85F14DED02}">
      <formula1>"저상, 표준"</formula1>
    </dataValidation>
    <dataValidation type="list" allowBlank="1" showInputMessage="1" showErrorMessage="1" sqref="D14" xr:uid="{6D9B2391-C3C0-4B9D-B9E2-8B1691F2BFEF}">
      <formula1>"여닫이, 슬라이딩,EV미닫이(냉동전용),쿠팡미닫이(내장전용)"</formula1>
    </dataValidation>
    <dataValidation type="list" allowBlank="1" showInputMessage="1" showErrorMessage="1" sqref="D15:D16" xr:uid="{DC1470B4-9AC6-4390-8834-0F9F5248A2CD}">
      <formula1>"O, X"</formula1>
    </dataValidation>
    <dataValidation type="list" allowBlank="1" showInputMessage="1" showErrorMessage="1" sqref="D10" xr:uid="{659D8F34-9E1E-4076-A404-B5BA057C917A}">
      <formula1>"베이직, 플러스"</formula1>
    </dataValidation>
    <dataValidation type="list" allowBlank="1" showInputMessage="1" showErrorMessage="1" sqref="D17" xr:uid="{C97EB58D-10DE-49AC-8364-9D392D3E5938}">
      <formula1>"그물망,냉장/냉동 이동식, X"</formula1>
    </dataValidation>
    <dataValidation type="list" allowBlank="1" showInputMessage="1" showErrorMessage="1" sqref="D11" xr:uid="{057D5343-8070-4846-B057-01D6E7346235}">
      <formula1>"내장,냉장/냉동"</formula1>
    </dataValidation>
    <dataValidation type="list" allowBlank="1" showInputMessage="1" showErrorMessage="1" sqref="G4" xr:uid="{A13B1CFB-4D09-483D-B042-49B8EC26F22A}">
      <formula1>"일반인,장애1~3급,국가유공자,광주민주화,고엽제후유증"</formula1>
    </dataValidation>
    <dataValidation type="list" allowBlank="1" showInputMessage="1" showErrorMessage="1" sqref="G5" xr:uid="{7F27B8E4-C987-439F-802B-F8FB955C7274}">
      <formula1>"0%,10%,20%,30%"</formula1>
    </dataValidation>
    <dataValidation type="list" allowBlank="1" showInputMessage="1" showErrorMessage="1" sqref="G6" xr:uid="{7CFA92D1-54B4-4446-897B-AE25AD0E1185}">
      <formula1>"일시불,36,48,60"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6B160F-E246-45EB-B57F-7FA66BB1C120}">
          <x14:formula1>
            <xm:f>옵션DB!$M$2:$M$162</xm:f>
          </x14:formula1>
          <xm:sqref>G3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1C4A-1C07-40D6-96E9-2B7F888C4176}">
  <sheetPr>
    <pageSetUpPr fitToPage="1"/>
  </sheetPr>
  <dimension ref="A1:Q45"/>
  <sheetViews>
    <sheetView showGridLines="0" tabSelected="1" topLeftCell="A5" zoomScale="87" zoomScaleNormal="87" workbookViewId="0">
      <selection activeCell="D26" sqref="D26"/>
    </sheetView>
  </sheetViews>
  <sheetFormatPr defaultColWidth="8.7109375" defaultRowHeight="15"/>
  <cols>
    <col min="1" max="1" width="3" customWidth="1"/>
    <col min="2" max="2" width="22" customWidth="1"/>
    <col min="3" max="3" width="10" customWidth="1"/>
    <col min="4" max="4" width="18" customWidth="1"/>
    <col min="5" max="5" width="3" customWidth="1"/>
    <col min="6" max="6" width="15" customWidth="1"/>
    <col min="7" max="7" width="18" customWidth="1"/>
    <col min="8" max="8" width="3" customWidth="1"/>
    <col min="9" max="9" width="18" bestFit="1" customWidth="1"/>
    <col min="10" max="10" width="9.140625"/>
    <col min="11" max="11" width="12.5703125" customWidth="1"/>
    <col min="12" max="12" width="19" customWidth="1"/>
    <col min="13" max="13" width="24" customWidth="1"/>
    <col min="14" max="14" width="9.140625"/>
    <col min="15" max="15" width="15.85546875" bestFit="1" customWidth="1"/>
    <col min="16" max="16" width="9.140625"/>
    <col min="17" max="17" width="17.5703125" customWidth="1"/>
    <col min="18" max="18" width="9.140625"/>
    <col min="19" max="19" width="9.7109375" bestFit="1" customWidth="1"/>
  </cols>
  <sheetData>
    <row r="1" spans="1:17" ht="30" customHeight="1">
      <c r="A1" s="118" t="s">
        <v>34</v>
      </c>
      <c r="B1" s="118"/>
      <c r="C1" s="118"/>
      <c r="D1" s="118"/>
      <c r="H1" s="48" t="str">
        <f>"작업 날짜 : " &amp; TEXT('입력 시트'!G2, "YYYY-MM-DD")</f>
        <v>작업 날짜 : 2026-08-03</v>
      </c>
      <c r="I1" s="32"/>
    </row>
    <row r="2" spans="1:17" ht="18" customHeight="1">
      <c r="A2" s="119" t="str">
        <f xml:space="preserve"> '입력 시트'!C2&amp; " 고객님, 만나서 반갑습니다. 고객님의 즐거운 여정에 늘 함께 하겠습니다."</f>
        <v>정재성 고객님, 만나서 반갑습니다. 고객님의 즐거운 여정에 늘 함께 하겠습니다.</v>
      </c>
      <c r="B2" s="120"/>
      <c r="C2" s="120"/>
      <c r="D2" s="120"/>
      <c r="E2" s="120"/>
      <c r="F2" s="120"/>
      <c r="G2" s="120"/>
      <c r="P2" s="96"/>
      <c r="Q2" s="54" t="s">
        <v>35</v>
      </c>
    </row>
    <row r="3" spans="1:17">
      <c r="P3" s="97"/>
      <c r="Q3" s="71" t="s">
        <v>36</v>
      </c>
    </row>
    <row r="4" spans="1:17" ht="24" customHeight="1">
      <c r="A4" s="121" t="str">
        <f xml:space="preserve"> "STEGO-K1 : PV5 " &amp; '입력 시트'!D10 &amp; " " &amp; '입력 시트'!D11 &amp; "탑차 - " &amp; '입력 시트'!D12</f>
        <v>STEGO-K1 : PV5 플러스 냉장/냉동탑차 - 저상</v>
      </c>
      <c r="B4" s="122"/>
      <c r="C4" s="122"/>
      <c r="D4" s="122"/>
      <c r="E4" s="122"/>
      <c r="F4" s="122"/>
      <c r="G4" s="122"/>
      <c r="P4" s="70"/>
      <c r="Q4" s="71" t="s">
        <v>37</v>
      </c>
    </row>
    <row r="5" spans="1:17" ht="15.75" customHeight="1">
      <c r="B5" s="30" t="str" cm="1">
        <f t="array" ref="B5">"특장 옵션 : " &amp; _xlfn.TEXTJOIN(" , ", TRUE, '입력 시트'!C11:C17 &amp; " = " &amp; '입력 시트'!D11:D17)</f>
        <v>특장 옵션 : 탑 종류 = 냉장/냉동 , 탑 높이 = 저상 , 스포일러 = X , 도어옵션 = 슬라이딩 , 도어추가 = O , 온도기록계 = O , 격벽 = 냉장/냉동 이동식</v>
      </c>
      <c r="C5" s="49"/>
      <c r="D5" s="49"/>
      <c r="E5" s="49"/>
      <c r="F5" s="49"/>
      <c r="G5" s="49"/>
      <c r="P5" s="66"/>
      <c r="Q5" s="67" t="s">
        <v>38</v>
      </c>
    </row>
    <row r="6" spans="1:17" ht="15" customHeight="1">
      <c r="A6" s="2"/>
      <c r="B6" s="2"/>
      <c r="C6" s="2"/>
      <c r="D6" s="2"/>
      <c r="E6" s="2"/>
      <c r="F6" s="2"/>
      <c r="G6" s="2"/>
      <c r="H6" s="2"/>
      <c r="I6" s="2"/>
      <c r="P6" s="81"/>
      <c r="Q6" s="54" t="s">
        <v>39</v>
      </c>
    </row>
    <row r="8" spans="1:17" ht="16.5">
      <c r="A8" s="7" t="s">
        <v>40</v>
      </c>
      <c r="B8" s="4"/>
      <c r="C8" s="4"/>
      <c r="D8" s="4"/>
      <c r="F8" s="7" t="s">
        <v>41</v>
      </c>
      <c r="G8" s="4"/>
      <c r="H8" s="4"/>
      <c r="I8" s="4"/>
      <c r="K8" s="4" t="s">
        <v>42</v>
      </c>
      <c r="L8" s="4"/>
      <c r="M8" s="4"/>
    </row>
    <row r="9" spans="1:17">
      <c r="F9" s="14"/>
      <c r="G9" s="14"/>
      <c r="H9" s="14"/>
      <c r="I9" s="14"/>
      <c r="K9" s="98" t="s">
        <v>43</v>
      </c>
      <c r="L9" s="104"/>
      <c r="M9" s="99" t="str">
        <f>'입력 시트'!C2</f>
        <v>정재성</v>
      </c>
    </row>
    <row r="10" spans="1:17" ht="19.5" customHeight="1">
      <c r="A10" s="123" t="s">
        <v>44</v>
      </c>
      <c r="B10" s="123"/>
      <c r="C10" s="123"/>
      <c r="D10" s="56">
        <f>_xlfn.XLOOKUP('입력 시트'!D10, 옵션DB!Q2:Q3, 옵션DB!R2:R3, 0)</f>
        <v>49650000</v>
      </c>
      <c r="F10" s="74" t="str">
        <f xml:space="preserve"> "탑 종류 : " &amp; '입력 시트'!D11 &amp; " " &amp;'입력 시트'!D12</f>
        <v>탑 종류 : 냉장/냉동 저상</v>
      </c>
      <c r="G10" s="75"/>
      <c r="H10" s="75"/>
      <c r="I10" s="57">
        <f>_xlfn.XLOOKUP('입력 시트'!D11&amp;'입력 시트'!D12,옵션DB!A2:A5,옵션DB!B2:B5)</f>
        <v>19320000</v>
      </c>
      <c r="K10" s="98" t="s">
        <v>45</v>
      </c>
      <c r="L10" s="104"/>
      <c r="M10" s="99" t="str">
        <f>'입력 시트'!C3</f>
        <v>개인사업자</v>
      </c>
    </row>
    <row r="11" spans="1:17" ht="16.5" customHeight="1">
      <c r="A11" s="123" t="s">
        <v>46</v>
      </c>
      <c r="B11" s="123"/>
      <c r="C11" s="123"/>
      <c r="D11" s="56">
        <f>옵션DB!X4</f>
        <v>188000</v>
      </c>
      <c r="F11" s="50" t="str">
        <f>"스포일러 : " &amp; '입력 시트'!D13</f>
        <v>스포일러 : X</v>
      </c>
      <c r="G11" s="50"/>
      <c r="H11" s="50"/>
      <c r="I11" s="57">
        <f>_xlfn.XLOOKUP('입력 시트'!D13,옵션DB!T2:T3,옵션DB!U2:U3)</f>
        <v>0</v>
      </c>
      <c r="K11" s="98" t="s">
        <v>47</v>
      </c>
      <c r="L11" s="104"/>
      <c r="M11" s="99" t="str">
        <f>'입력 시트'!G3</f>
        <v>경기 군포시</v>
      </c>
    </row>
    <row r="12" spans="1:17" ht="16.5" customHeight="1">
      <c r="A12" s="50" t="s">
        <v>48</v>
      </c>
      <c r="B12" s="50"/>
      <c r="C12" s="50"/>
      <c r="D12" s="57">
        <f>옵션DB!X2</f>
        <v>700000</v>
      </c>
      <c r="F12" s="50" t="str">
        <f>"도어옵션 : " &amp; '입력 시트'!D14</f>
        <v>도어옵션 : 슬라이딩</v>
      </c>
      <c r="G12" s="50"/>
      <c r="H12" s="50"/>
      <c r="I12" s="57">
        <f>_xlfn.XLOOKUP('입력 시트'!D11&amp;'입력 시트'!D12&amp;'입력 시트'!D14,옵션DB!D2:D17,옵션DB!E2:E17)</f>
        <v>308000</v>
      </c>
      <c r="K12" s="98" t="s">
        <v>49</v>
      </c>
      <c r="L12" s="104"/>
      <c r="M12" s="99" t="str">
        <f>'입력 시트'!C4</f>
        <v>O</v>
      </c>
    </row>
    <row r="13" spans="1:17" ht="16.5" customHeight="1">
      <c r="A13" s="51" t="s">
        <v>50</v>
      </c>
      <c r="B13" s="51"/>
      <c r="C13" s="51"/>
      <c r="D13" s="58">
        <f>(D10-D12)*0.01</f>
        <v>489500</v>
      </c>
      <c r="F13" s="75" t="str">
        <f>"도어추가 : " &amp; '입력 시트'!D15</f>
        <v>도어추가 : O</v>
      </c>
      <c r="G13" s="76"/>
      <c r="H13" s="76"/>
      <c r="I13" s="57">
        <f>_xlfn.XLOOKUP('입력 시트'!D11&amp;'입력 시트'!D12&amp;'입력 시트'!D14&amp;'입력 시트'!D15,옵션DB!G2:G17,옵션DB!H2:H17,0)</f>
        <v>836000.00000000012</v>
      </c>
      <c r="K13" s="98" t="s">
        <v>14</v>
      </c>
      <c r="L13" s="104"/>
      <c r="M13" s="99" t="str">
        <f>'입력 시트'!C6</f>
        <v>O</v>
      </c>
    </row>
    <row r="14" spans="1:17" ht="16.5" customHeight="1">
      <c r="A14" s="55" t="s">
        <v>51</v>
      </c>
      <c r="B14" s="55"/>
      <c r="C14" s="55"/>
      <c r="D14" s="59">
        <f>-SUM(D12:D13)</f>
        <v>-1189500</v>
      </c>
      <c r="F14" s="77" t="str">
        <f xml:space="preserve"> "온도기록계 : " &amp; '입력 시트'!D16</f>
        <v>온도기록계 : O</v>
      </c>
      <c r="G14" s="76"/>
      <c r="H14" s="76"/>
      <c r="I14" s="57">
        <f>_xlfn.XLOOKUP('입력 시트'!C16&amp;'입력 시트'!D16,옵션DB!J8:J9,옵션DB!K8:K9)</f>
        <v>495000.00000000006</v>
      </c>
      <c r="K14" s="98" t="s">
        <v>11</v>
      </c>
      <c r="L14" s="104"/>
      <c r="M14" s="99" t="str">
        <f>'입력 시트'!C5</f>
        <v>경유차 유지 후 전기차 전환</v>
      </c>
    </row>
    <row r="15" spans="1:17" ht="19.5" customHeight="1">
      <c r="A15" s="72" t="s">
        <v>52</v>
      </c>
      <c r="B15" s="72"/>
      <c r="C15" s="72"/>
      <c r="D15" s="73">
        <f>IF('입력 시트'!C5="경유차 유지 후 전기차 전환",옵션DB!AA2-500000,옵션DB!AA2)</f>
        <v>11000000</v>
      </c>
      <c r="F15" s="77" t="str">
        <f xml:space="preserve"> "격벽 : " &amp; '입력 시트'!D17</f>
        <v>격벽 : 냉장/냉동 이동식</v>
      </c>
      <c r="G15" s="76"/>
      <c r="H15" s="76"/>
      <c r="I15" s="78">
        <f>_xlfn.XLOOKUP('입력 시트'!D12&amp;'입력 시트'!C17&amp;'입력 시트'!D17,옵션DB!J2:J7,옵션DB!K2:K7)</f>
        <v>660000</v>
      </c>
      <c r="K15" s="98" t="s">
        <v>16</v>
      </c>
      <c r="L15" s="104"/>
      <c r="M15" s="99" t="str">
        <f>'입력 시트'!C7</f>
        <v>O</v>
      </c>
    </row>
    <row r="16" spans="1:17" ht="19.5" customHeight="1">
      <c r="A16" s="51" t="str">
        <f xml:space="preserve"> "지방보조금 (" &amp;'입력 시트'!G3&amp;")"</f>
        <v>지방보조금 (경기 군포시)</v>
      </c>
      <c r="B16" s="51"/>
      <c r="C16" s="51"/>
      <c r="D16" s="58">
        <f>IF('입력 시트'!C3="법인사업자",0,_xlfn.XLOOKUP('입력 시트'!G3,옵션DB!M2:M162,옵션DB!N2:N162))</f>
        <v>5290000</v>
      </c>
      <c r="F16" s="117" t="s">
        <v>53</v>
      </c>
      <c r="G16" s="117"/>
      <c r="H16" s="117"/>
      <c r="I16" s="59">
        <f>SUM(I10:I15)</f>
        <v>21619000</v>
      </c>
      <c r="K16" s="98" t="s">
        <v>13</v>
      </c>
      <c r="L16" s="104"/>
      <c r="M16" s="100">
        <f>'입력 시트'!G5</f>
        <v>0.3</v>
      </c>
    </row>
    <row r="17" spans="1:15" ht="19.5" customHeight="1">
      <c r="A17" s="51" t="s">
        <v>54</v>
      </c>
      <c r="B17" s="51"/>
      <c r="C17" s="51"/>
      <c r="D17" s="58">
        <f>IF('입력 시트'!C4="O",차량견적서!D15*0.3,0)</f>
        <v>3300000</v>
      </c>
      <c r="F17" s="112" t="s">
        <v>55</v>
      </c>
      <c r="G17" s="112"/>
      <c r="H17" s="112"/>
      <c r="I17" s="103">
        <v>0</v>
      </c>
      <c r="K17" s="16" t="s">
        <v>56</v>
      </c>
      <c r="L17" s="20" t="s">
        <v>57</v>
      </c>
      <c r="M17" s="20" t="s">
        <v>58</v>
      </c>
    </row>
    <row r="18" spans="1:15" ht="19.5" customHeight="1">
      <c r="A18" s="60" t="s">
        <v>59</v>
      </c>
      <c r="B18" s="61"/>
      <c r="C18" s="61"/>
      <c r="D18" s="62">
        <f>IF(AND('입력 시트'!C3="개인사업자",'입력 시트'!C6="O"),차량견적서!D15*0.1,0)</f>
        <v>1100000</v>
      </c>
      <c r="F18" s="113" t="s">
        <v>60</v>
      </c>
      <c r="G18" s="113"/>
      <c r="H18" s="113"/>
      <c r="I18" s="5">
        <f>SUM(I17)</f>
        <v>0</v>
      </c>
      <c r="K18" s="91" t="s">
        <v>61</v>
      </c>
      <c r="L18" s="62">
        <f>D20-D23</f>
        <v>13135250</v>
      </c>
      <c r="M18" s="62">
        <f>I20-I23</f>
        <v>21219000</v>
      </c>
      <c r="O18" s="29"/>
    </row>
    <row r="19" spans="1:15" ht="16.5" customHeight="1">
      <c r="A19" s="63" t="s">
        <v>62</v>
      </c>
      <c r="B19" s="64"/>
      <c r="C19" s="64"/>
      <c r="D19" s="65">
        <f>-SUM(D15:D18)</f>
        <v>-20690000</v>
      </c>
      <c r="F19" s="8"/>
      <c r="G19" s="8"/>
      <c r="H19" s="8"/>
      <c r="I19" s="8"/>
      <c r="K19" s="87" t="s">
        <v>63</v>
      </c>
      <c r="L19" s="111">
        <f>L18+M18</f>
        <v>34354250</v>
      </c>
      <c r="M19" s="111"/>
    </row>
    <row r="20" spans="1:15" ht="18" customHeight="1">
      <c r="A20" s="10" t="s">
        <v>64</v>
      </c>
      <c r="B20" s="11"/>
      <c r="C20" s="11"/>
      <c r="D20" s="12">
        <f>D10+D11+D14+D19</f>
        <v>27958500</v>
      </c>
      <c r="F20" s="11" t="s">
        <v>65</v>
      </c>
      <c r="G20" s="11"/>
      <c r="H20" s="11"/>
      <c r="I20" s="12">
        <f>I16-I18</f>
        <v>21619000</v>
      </c>
      <c r="K20" s="90" t="s">
        <v>66</v>
      </c>
      <c r="L20" s="110" t="s">
        <v>67</v>
      </c>
      <c r="M20" s="110"/>
    </row>
    <row r="21" spans="1:15" ht="18" customHeight="1">
      <c r="A21" s="79" t="s">
        <v>68</v>
      </c>
      <c r="B21" s="79"/>
      <c r="C21" s="79"/>
      <c r="D21" s="80">
        <v>100000</v>
      </c>
      <c r="F21" s="79" t="s">
        <v>68</v>
      </c>
      <c r="G21" s="79"/>
      <c r="H21" s="79"/>
      <c r="I21" s="80">
        <v>400000</v>
      </c>
      <c r="K21" s="85" t="s">
        <v>69</v>
      </c>
      <c r="L21" s="52"/>
      <c r="M21" s="86">
        <f>_xlfn.XLOOKUP('입력 시트'!G6,옵션DB!AF2:AF5,옵션DB!AG2:AG5)</f>
        <v>6.6000000000000003E-2</v>
      </c>
    </row>
    <row r="22" spans="1:15" ht="19.5" customHeight="1">
      <c r="A22" s="51" t="s">
        <v>70</v>
      </c>
      <c r="B22" s="51"/>
      <c r="C22" s="51"/>
      <c r="D22" s="58">
        <f>(D20+I20-D21-I21)*'입력 시트'!G5</f>
        <v>14723250</v>
      </c>
      <c r="F22" s="1"/>
      <c r="G22" s="15"/>
      <c r="H22" s="15"/>
      <c r="I22" s="3"/>
      <c r="K22" s="87" t="s">
        <v>71</v>
      </c>
      <c r="L22" s="53"/>
      <c r="M22" s="88">
        <f>M24*M23-L19</f>
        <v>6073189.8983467519</v>
      </c>
    </row>
    <row r="23" spans="1:15" ht="16.5" customHeight="1">
      <c r="A23" s="68" t="s">
        <v>72</v>
      </c>
      <c r="B23" s="68"/>
      <c r="C23" s="68"/>
      <c r="D23" s="69">
        <f>D21+D22</f>
        <v>14823250</v>
      </c>
      <c r="F23" s="68" t="s">
        <v>73</v>
      </c>
      <c r="G23" s="82"/>
      <c r="H23" s="82"/>
      <c r="I23" s="69">
        <f>I21+I22</f>
        <v>400000</v>
      </c>
      <c r="K23" s="101" t="s">
        <v>74</v>
      </c>
      <c r="L23" s="95"/>
      <c r="M23" s="102">
        <f>'입력 시트'!G6</f>
        <v>60</v>
      </c>
    </row>
    <row r="24" spans="1:15" ht="16.5" customHeight="1">
      <c r="A24" s="51" t="s">
        <v>75</v>
      </c>
      <c r="B24" s="51"/>
      <c r="C24" s="51"/>
      <c r="D24" s="58">
        <f>IF('입력 시트'!C7="O",ROUNDDOWN(((D10+D11+D14)/11*10*0.04)-1400000,-1),ROUNDDOWN(((D10+D11+D14)/11*10*0.05)-1400000,-1))</f>
        <v>369030</v>
      </c>
      <c r="F24" s="51" t="s">
        <v>76</v>
      </c>
      <c r="G24" s="51"/>
      <c r="H24" s="51"/>
      <c r="I24" s="58">
        <f>ROUNDDOWN(I20*0.02,-1)</f>
        <v>432380</v>
      </c>
      <c r="K24" s="92" t="s">
        <v>77</v>
      </c>
      <c r="L24" s="93"/>
      <c r="M24" s="94">
        <f>PMT(M21/12,M23,-L19)</f>
        <v>673790.66497244581</v>
      </c>
    </row>
    <row r="25" spans="1:15" ht="19.5" customHeight="1">
      <c r="A25" s="72" t="s">
        <v>78</v>
      </c>
      <c r="B25" s="72"/>
      <c r="C25" s="72"/>
      <c r="D25" s="73">
        <f>IF(AND('입력 시트'!G4="일반인",'입력 시트'!G3="서울특별시"),옵션DB!X9,0)</f>
        <v>0</v>
      </c>
      <c r="F25" s="83" t="s">
        <v>79</v>
      </c>
      <c r="G25" s="83"/>
      <c r="H25" s="83"/>
      <c r="I25" s="57">
        <f>옵션DB!AD2</f>
        <v>50000</v>
      </c>
      <c r="K25" s="17"/>
      <c r="M25" s="19"/>
    </row>
    <row r="26" spans="1:15" ht="16.5" customHeight="1">
      <c r="A26" s="50" t="s">
        <v>80</v>
      </c>
      <c r="B26" s="50"/>
      <c r="C26" s="50"/>
      <c r="D26" s="57">
        <f>옵션DB!X6</f>
        <v>28000</v>
      </c>
      <c r="K26" s="11" t="s">
        <v>81</v>
      </c>
      <c r="L26" s="11"/>
      <c r="M26" s="12">
        <f>ROUNDDOWN((D20+I20)/11*10,-1)</f>
        <v>45070450</v>
      </c>
    </row>
    <row r="27" spans="1:15" ht="16.5" customHeight="1">
      <c r="A27" s="50" t="s">
        <v>82</v>
      </c>
      <c r="B27" s="50"/>
      <c r="C27" s="50"/>
      <c r="D27" s="57">
        <f>옵션DB!X5</f>
        <v>2000</v>
      </c>
      <c r="F27" s="8"/>
      <c r="G27" s="8"/>
      <c r="H27" s="8"/>
      <c r="I27" s="8"/>
      <c r="K27" s="4" t="s">
        <v>83</v>
      </c>
      <c r="L27" s="4"/>
    </row>
    <row r="28" spans="1:15" ht="18" customHeight="1">
      <c r="A28" s="50" t="s">
        <v>84</v>
      </c>
      <c r="B28" s="50"/>
      <c r="C28" s="50"/>
      <c r="D28" s="57">
        <f>옵션DB!X8</f>
        <v>2800</v>
      </c>
      <c r="F28" s="8"/>
      <c r="G28" s="8"/>
      <c r="H28" s="8"/>
      <c r="I28" s="8"/>
      <c r="K28" s="6" t="s">
        <v>85</v>
      </c>
      <c r="L28" s="6"/>
    </row>
    <row r="29" spans="1:15" ht="21.75" customHeight="1">
      <c r="A29" s="50" t="s">
        <v>86</v>
      </c>
      <c r="B29" s="50"/>
      <c r="C29" s="50"/>
      <c r="D29" s="57">
        <f>옵션DB!X7</f>
        <v>30000</v>
      </c>
      <c r="F29" s="8"/>
      <c r="G29" s="8"/>
      <c r="H29" s="8"/>
      <c r="I29" s="8"/>
      <c r="K29" s="4" t="s">
        <v>87</v>
      </c>
      <c r="L29" s="4"/>
    </row>
    <row r="30" spans="1:15" ht="17.25">
      <c r="A30" s="68" t="s">
        <v>88</v>
      </c>
      <c r="B30" s="68"/>
      <c r="C30" s="68"/>
      <c r="D30" s="69">
        <f>SUM(D24:D29)</f>
        <v>431830</v>
      </c>
      <c r="F30" s="55" t="s">
        <v>89</v>
      </c>
      <c r="G30" s="55"/>
      <c r="H30" s="55"/>
      <c r="I30" s="59">
        <f>SUM(I24:I25)</f>
        <v>482380</v>
      </c>
      <c r="K30" s="6" t="s">
        <v>90</v>
      </c>
      <c r="L30" s="6"/>
    </row>
    <row r="31" spans="1:15" ht="16.5" customHeight="1">
      <c r="A31" s="114" t="s">
        <v>91</v>
      </c>
      <c r="B31" s="115"/>
      <c r="C31" s="115"/>
      <c r="D31" s="13">
        <f>D23+D30</f>
        <v>15255080</v>
      </c>
      <c r="F31" s="116" t="s">
        <v>92</v>
      </c>
      <c r="G31" s="116"/>
      <c r="H31" s="116"/>
      <c r="I31" s="13">
        <f>I23+I30</f>
        <v>882380</v>
      </c>
      <c r="K31" s="6" t="s">
        <v>93</v>
      </c>
      <c r="L31" s="6"/>
    </row>
    <row r="32" spans="1:15" ht="16.5" customHeight="1"/>
    <row r="33" spans="1:12" ht="19.5" customHeight="1">
      <c r="K33" s="6"/>
      <c r="L33" s="6"/>
    </row>
    <row r="34" spans="1:12" ht="16.5" customHeight="1">
      <c r="A34" s="9"/>
      <c r="K34" s="6"/>
      <c r="L34" s="6"/>
    </row>
    <row r="35" spans="1:12" ht="16.5" customHeight="1"/>
    <row r="36" spans="1:12" ht="16.5" customHeight="1"/>
    <row r="37" spans="1:12" ht="16.5" customHeight="1"/>
    <row r="38" spans="1:12" ht="16.5" customHeight="1"/>
    <row r="39" spans="1:12" ht="16.5" customHeight="1"/>
    <row r="40" spans="1:12" ht="16.5" customHeight="1"/>
    <row r="41" spans="1:12" ht="19.5" customHeight="1"/>
    <row r="42" spans="1:12" ht="21.75" customHeight="1"/>
    <row r="43" spans="1:12" ht="21.75" customHeight="1"/>
    <row r="45" spans="1:12" ht="15" customHeight="1"/>
  </sheetData>
  <mergeCells count="12">
    <mergeCell ref="F16:H16"/>
    <mergeCell ref="A1:D1"/>
    <mergeCell ref="A2:G2"/>
    <mergeCell ref="A4:G4"/>
    <mergeCell ref="A10:C10"/>
    <mergeCell ref="A11:C11"/>
    <mergeCell ref="L20:M20"/>
    <mergeCell ref="L19:M19"/>
    <mergeCell ref="F17:H17"/>
    <mergeCell ref="F18:H18"/>
    <mergeCell ref="A31:C31"/>
    <mergeCell ref="F31:H31"/>
  </mergeCells>
  <phoneticPr fontId="17" type="noConversion"/>
  <dataValidations count="1">
    <dataValidation allowBlank="1" showInputMessage="1" showErrorMessage="1" sqref="A10:C10 M9:M16" xr:uid="{011856A7-EF83-4864-8F7B-4D6D7C35B737}"/>
  </dataValidations>
  <pageMargins left="0.5" right="0.5" top="0.75" bottom="0.75" header="0.511811023622047" footer="0.511811023622047"/>
  <pageSetup paperSize="9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400B9-4AD4-454D-B4E8-D41B60A4E18D}">
  <dimension ref="A1:AG163"/>
  <sheetViews>
    <sheetView topLeftCell="B1" workbookViewId="0">
      <selection activeCell="M26" sqref="M26"/>
    </sheetView>
  </sheetViews>
  <sheetFormatPr defaultRowHeight="15"/>
  <cols>
    <col min="1" max="1" width="40.7109375" bestFit="1" customWidth="1"/>
    <col min="2" max="2" width="10.5703125" bestFit="1" customWidth="1"/>
    <col min="4" max="4" width="40.42578125" bestFit="1" customWidth="1"/>
    <col min="5" max="5" width="9.42578125" bestFit="1" customWidth="1"/>
    <col min="7" max="7" width="42.5703125" bestFit="1" customWidth="1"/>
    <col min="8" max="8" width="9.42578125" bestFit="1" customWidth="1"/>
    <col min="10" max="10" width="32.85546875" bestFit="1" customWidth="1"/>
    <col min="13" max="13" width="20.28515625" bestFit="1" customWidth="1"/>
    <col min="14" max="14" width="11.28515625" bestFit="1" customWidth="1"/>
    <col min="17" max="17" width="33.42578125" customWidth="1"/>
    <col min="20" max="20" width="25.7109375" bestFit="1" customWidth="1"/>
    <col min="23" max="23" width="24.7109375" bestFit="1" customWidth="1"/>
    <col min="26" max="26" width="14.5703125" bestFit="1" customWidth="1"/>
    <col min="29" max="29" width="23.7109375" bestFit="1" customWidth="1"/>
  </cols>
  <sheetData>
    <row r="1" spans="1:33" ht="16.5">
      <c r="A1" s="21" t="s">
        <v>94</v>
      </c>
      <c r="B1" s="22"/>
      <c r="C1" s="22"/>
      <c r="D1" s="23" t="s">
        <v>95</v>
      </c>
      <c r="E1" s="22"/>
      <c r="F1" s="22"/>
      <c r="G1" s="23" t="s">
        <v>96</v>
      </c>
      <c r="H1" s="22"/>
      <c r="I1" s="22"/>
      <c r="J1" s="21" t="s">
        <v>97</v>
      </c>
      <c r="K1" s="22"/>
      <c r="L1" s="22"/>
      <c r="M1" s="21" t="s">
        <v>47</v>
      </c>
      <c r="N1" s="22" t="s">
        <v>98</v>
      </c>
      <c r="O1" s="22" t="s">
        <v>99</v>
      </c>
      <c r="P1" s="22"/>
      <c r="Q1" s="21" t="s">
        <v>100</v>
      </c>
      <c r="R1" s="22"/>
      <c r="S1" s="22"/>
      <c r="T1" s="21" t="s">
        <v>101</v>
      </c>
      <c r="U1" s="22"/>
      <c r="V1" s="22"/>
      <c r="W1" s="21" t="s">
        <v>102</v>
      </c>
      <c r="X1" s="22"/>
      <c r="Y1" s="22"/>
      <c r="Z1" s="21" t="s">
        <v>103</v>
      </c>
      <c r="AA1" s="22"/>
      <c r="AB1" s="22"/>
      <c r="AC1" s="21" t="s">
        <v>104</v>
      </c>
      <c r="AD1" s="22"/>
      <c r="AE1" s="22"/>
      <c r="AF1" s="21" t="s">
        <v>105</v>
      </c>
    </row>
    <row r="2" spans="1:33" ht="16.5">
      <c r="A2" s="24" t="s">
        <v>106</v>
      </c>
      <c r="B2" s="22">
        <v>9310000</v>
      </c>
      <c r="C2" s="22"/>
      <c r="D2" s="22" t="s">
        <v>107</v>
      </c>
      <c r="E2" s="22">
        <v>0</v>
      </c>
      <c r="F2" s="22"/>
      <c r="G2" s="22" t="s">
        <v>108</v>
      </c>
      <c r="H2" s="22">
        <f>480000*1.1</f>
        <v>528000</v>
      </c>
      <c r="I2" s="22"/>
      <c r="J2" s="22" t="s">
        <v>109</v>
      </c>
      <c r="K2" s="22">
        <f>170000*1.1</f>
        <v>187000.00000000003</v>
      </c>
      <c r="L2" s="22"/>
      <c r="M2" s="25" t="s">
        <v>110</v>
      </c>
      <c r="N2" s="26">
        <v>4600000</v>
      </c>
      <c r="O2" s="26">
        <v>580000</v>
      </c>
      <c r="P2" s="22"/>
      <c r="Q2" s="22" t="s">
        <v>111</v>
      </c>
      <c r="R2" s="22">
        <v>46530000</v>
      </c>
      <c r="S2" s="22"/>
      <c r="T2" s="22" t="s">
        <v>8</v>
      </c>
      <c r="U2" s="22">
        <v>440000</v>
      </c>
      <c r="V2" s="22"/>
      <c r="W2" s="22" t="s">
        <v>112</v>
      </c>
      <c r="X2" s="22">
        <v>700000</v>
      </c>
      <c r="Y2" s="22"/>
      <c r="Z2" s="22" t="s">
        <v>113</v>
      </c>
      <c r="AA2" s="22">
        <v>11500000</v>
      </c>
      <c r="AB2" s="22"/>
      <c r="AC2" s="22" t="s">
        <v>114</v>
      </c>
      <c r="AD2" s="22">
        <v>50000</v>
      </c>
      <c r="AE2" s="22"/>
      <c r="AF2" t="s">
        <v>115</v>
      </c>
      <c r="AG2">
        <v>0</v>
      </c>
    </row>
    <row r="3" spans="1:33" ht="16.5">
      <c r="A3" s="24" t="s">
        <v>116</v>
      </c>
      <c r="B3" s="27">
        <v>9530000</v>
      </c>
      <c r="C3" s="22"/>
      <c r="D3" s="22" t="s">
        <v>117</v>
      </c>
      <c r="E3" s="22">
        <f>280000*1.1</f>
        <v>308000</v>
      </c>
      <c r="F3" s="22"/>
      <c r="G3" s="22" t="s">
        <v>118</v>
      </c>
      <c r="H3" s="22">
        <f>760000*1.1</f>
        <v>836000.00000000012</v>
      </c>
      <c r="I3" s="22"/>
      <c r="J3" s="22" t="s">
        <v>119</v>
      </c>
      <c r="K3" s="22">
        <f>170000*1.1</f>
        <v>187000.00000000003</v>
      </c>
      <c r="L3" s="22"/>
      <c r="M3" s="25" t="s">
        <v>120</v>
      </c>
      <c r="N3" s="26">
        <v>4600000</v>
      </c>
      <c r="O3" s="26">
        <v>630000</v>
      </c>
      <c r="P3" s="22"/>
      <c r="Q3" s="22" t="s">
        <v>20</v>
      </c>
      <c r="R3" s="27">
        <v>49650000</v>
      </c>
      <c r="S3" s="22"/>
      <c r="T3" s="22" t="s">
        <v>27</v>
      </c>
      <c r="U3" s="22">
        <v>0</v>
      </c>
      <c r="V3" s="22"/>
      <c r="W3" t="s">
        <v>121</v>
      </c>
      <c r="Y3" s="22"/>
      <c r="Z3" s="22"/>
      <c r="AA3" s="22"/>
      <c r="AB3" s="22"/>
      <c r="AC3" s="22"/>
      <c r="AD3" s="22"/>
      <c r="AE3" s="22"/>
      <c r="AF3">
        <v>36</v>
      </c>
      <c r="AG3" s="18">
        <v>6.4000000000000001E-2</v>
      </c>
    </row>
    <row r="4" spans="1:33" ht="16.5">
      <c r="A4" s="24" t="s">
        <v>122</v>
      </c>
      <c r="B4" s="22">
        <v>19320000</v>
      </c>
      <c r="C4" s="22"/>
      <c r="D4" s="22" t="s">
        <v>123</v>
      </c>
      <c r="E4" s="22">
        <f>1600000*1.1</f>
        <v>1760000.0000000002</v>
      </c>
      <c r="F4" s="22"/>
      <c r="G4" s="22" t="s">
        <v>124</v>
      </c>
      <c r="H4" s="22">
        <f>1600000*1.1</f>
        <v>1760000.0000000002</v>
      </c>
      <c r="I4" s="22"/>
      <c r="J4" s="22" t="s">
        <v>125</v>
      </c>
      <c r="K4" s="22">
        <f>650000*1.1</f>
        <v>715000</v>
      </c>
      <c r="L4" s="22"/>
      <c r="M4" s="25" t="s">
        <v>126</v>
      </c>
      <c r="N4" s="26">
        <v>4600000</v>
      </c>
      <c r="O4" s="26">
        <v>620000</v>
      </c>
      <c r="P4" s="22"/>
      <c r="Q4" s="22"/>
      <c r="R4" s="22"/>
      <c r="S4" s="22"/>
      <c r="T4" s="22"/>
      <c r="U4" s="22"/>
      <c r="V4" s="22"/>
      <c r="W4" s="22" t="s">
        <v>99</v>
      </c>
      <c r="X4" s="22">
        <v>188000</v>
      </c>
      <c r="Y4" s="22"/>
      <c r="Z4" s="22"/>
      <c r="AA4" s="22"/>
      <c r="AB4" s="22"/>
      <c r="AC4" s="22"/>
      <c r="AD4" s="22"/>
      <c r="AE4" s="22"/>
      <c r="AF4">
        <v>48</v>
      </c>
      <c r="AG4" s="18">
        <v>6.6000000000000003E-2</v>
      </c>
    </row>
    <row r="5" spans="1:33" ht="16.5">
      <c r="A5" s="24" t="s">
        <v>127</v>
      </c>
      <c r="B5" s="22">
        <v>19650000</v>
      </c>
      <c r="C5" s="22"/>
      <c r="D5" s="22" t="s">
        <v>128</v>
      </c>
      <c r="E5" s="22">
        <v>0</v>
      </c>
      <c r="F5" s="22"/>
      <c r="G5" s="22" t="s">
        <v>129</v>
      </c>
      <c r="H5" s="22">
        <v>0</v>
      </c>
      <c r="I5" s="22"/>
      <c r="J5" s="22" t="s">
        <v>130</v>
      </c>
      <c r="K5" s="22">
        <f>600000*1.1</f>
        <v>660000</v>
      </c>
      <c r="L5" s="22"/>
      <c r="M5" s="25" t="s">
        <v>131</v>
      </c>
      <c r="N5" s="26">
        <v>4600000</v>
      </c>
      <c r="O5" s="26">
        <v>640000</v>
      </c>
      <c r="P5" s="22"/>
      <c r="Q5" s="22"/>
      <c r="R5" s="22"/>
      <c r="S5" s="22"/>
      <c r="T5" s="22"/>
      <c r="U5" s="22"/>
      <c r="V5" s="22"/>
      <c r="W5" s="22" t="s">
        <v>132</v>
      </c>
      <c r="X5" s="22">
        <v>2000</v>
      </c>
      <c r="Y5" s="22"/>
      <c r="Z5" s="22"/>
      <c r="AA5" s="22"/>
      <c r="AB5" s="22"/>
      <c r="AC5" s="22"/>
      <c r="AD5" s="22"/>
      <c r="AE5" s="22"/>
      <c r="AF5">
        <v>60</v>
      </c>
      <c r="AG5" s="18">
        <v>6.6000000000000003E-2</v>
      </c>
    </row>
    <row r="6" spans="1:33">
      <c r="A6" s="22"/>
      <c r="B6" s="22"/>
      <c r="C6" s="22"/>
      <c r="D6" s="22" t="s">
        <v>133</v>
      </c>
      <c r="E6" s="22">
        <v>0</v>
      </c>
      <c r="F6" s="22"/>
      <c r="G6" s="22" t="s">
        <v>134</v>
      </c>
      <c r="H6" s="22">
        <f>520000*1.1</f>
        <v>572000</v>
      </c>
      <c r="I6" s="22"/>
      <c r="J6" t="s">
        <v>135</v>
      </c>
      <c r="K6">
        <v>0</v>
      </c>
      <c r="L6" s="22"/>
      <c r="M6" s="25" t="s">
        <v>136</v>
      </c>
      <c r="N6" s="26">
        <v>4600000</v>
      </c>
      <c r="O6" s="26">
        <v>600000</v>
      </c>
      <c r="P6" s="22"/>
      <c r="Q6" s="22"/>
      <c r="R6" s="22"/>
      <c r="S6" s="22"/>
      <c r="T6" s="22"/>
      <c r="U6" s="22"/>
      <c r="V6" s="22"/>
      <c r="W6" s="22" t="s">
        <v>137</v>
      </c>
      <c r="X6" s="22">
        <v>28000</v>
      </c>
      <c r="Y6" s="22"/>
      <c r="Z6" s="22"/>
      <c r="AA6" s="22"/>
      <c r="AB6" s="22"/>
      <c r="AC6" s="22"/>
      <c r="AD6" s="22"/>
      <c r="AE6" s="22"/>
    </row>
    <row r="7" spans="1:33">
      <c r="A7" s="22"/>
      <c r="B7" s="22"/>
      <c r="C7" s="22"/>
      <c r="D7" s="22" t="s">
        <v>138</v>
      </c>
      <c r="E7" s="22">
        <f>300000*1.1</f>
        <v>330000</v>
      </c>
      <c r="F7" s="22"/>
      <c r="G7" s="22" t="s">
        <v>139</v>
      </c>
      <c r="H7" s="22">
        <f>820000*1.1</f>
        <v>902000.00000000012</v>
      </c>
      <c r="I7" s="22"/>
      <c r="J7" t="s">
        <v>140</v>
      </c>
      <c r="K7">
        <v>0</v>
      </c>
      <c r="L7" s="22"/>
      <c r="M7" s="25" t="s">
        <v>141</v>
      </c>
      <c r="N7" s="26">
        <v>4600000</v>
      </c>
      <c r="O7" s="26">
        <v>510000</v>
      </c>
      <c r="P7" s="22"/>
      <c r="Q7" s="22"/>
      <c r="R7" s="22"/>
      <c r="S7" s="22"/>
      <c r="T7" s="22"/>
      <c r="U7" s="22"/>
      <c r="V7" s="22"/>
      <c r="W7" s="22" t="s">
        <v>142</v>
      </c>
      <c r="X7" s="22">
        <v>30000</v>
      </c>
      <c r="Y7" s="22"/>
      <c r="Z7" s="22"/>
      <c r="AA7" s="22"/>
      <c r="AB7" s="22"/>
      <c r="AC7" s="22"/>
      <c r="AD7" s="22"/>
      <c r="AE7" s="22"/>
    </row>
    <row r="8" spans="1:33">
      <c r="A8" s="22"/>
      <c r="B8" s="28"/>
      <c r="C8" s="27"/>
      <c r="D8" s="22" t="s">
        <v>143</v>
      </c>
      <c r="E8" s="22">
        <f>1800000*1.1</f>
        <v>1980000.0000000002</v>
      </c>
      <c r="F8" s="22"/>
      <c r="G8" s="22" t="s">
        <v>144</v>
      </c>
      <c r="H8" s="22">
        <f>1800000*1.1</f>
        <v>1980000.0000000002</v>
      </c>
      <c r="I8" s="22"/>
      <c r="J8" s="22" t="s">
        <v>145</v>
      </c>
      <c r="K8" s="22">
        <f>450000*1.1</f>
        <v>495000.00000000006</v>
      </c>
      <c r="L8" s="22"/>
      <c r="M8" s="25" t="s">
        <v>146</v>
      </c>
      <c r="N8" s="26">
        <v>4600000</v>
      </c>
      <c r="O8" s="26">
        <v>590000</v>
      </c>
      <c r="P8" s="22"/>
      <c r="Q8" s="22"/>
      <c r="R8" s="22"/>
      <c r="S8" s="22"/>
      <c r="T8" s="22"/>
      <c r="U8" s="22"/>
      <c r="V8" s="22"/>
      <c r="W8" s="22" t="s">
        <v>147</v>
      </c>
      <c r="X8" s="22">
        <v>2800</v>
      </c>
      <c r="Y8" s="22"/>
      <c r="Z8" s="22"/>
      <c r="AA8" s="22"/>
      <c r="AB8" s="22"/>
      <c r="AC8" s="22"/>
      <c r="AD8" s="22"/>
      <c r="AE8" s="22"/>
    </row>
    <row r="9" spans="1:33">
      <c r="A9" s="22"/>
      <c r="B9" s="28"/>
      <c r="C9" s="27"/>
      <c r="D9" s="22" t="s">
        <v>148</v>
      </c>
      <c r="E9" s="22">
        <v>0</v>
      </c>
      <c r="F9" s="22"/>
      <c r="G9" s="22" t="s">
        <v>149</v>
      </c>
      <c r="H9" s="22">
        <v>0</v>
      </c>
      <c r="I9" s="22"/>
      <c r="J9" s="22" t="s">
        <v>150</v>
      </c>
      <c r="K9" s="22">
        <v>0</v>
      </c>
      <c r="L9" s="22"/>
      <c r="M9" s="25" t="s">
        <v>151</v>
      </c>
      <c r="N9" s="26">
        <v>4600000</v>
      </c>
      <c r="O9" s="26">
        <v>520000</v>
      </c>
      <c r="P9" s="22"/>
      <c r="Q9" s="22"/>
      <c r="R9" s="22"/>
      <c r="S9" s="22"/>
      <c r="T9" s="22"/>
      <c r="U9" s="22"/>
      <c r="V9" s="22"/>
      <c r="W9" s="22" t="s">
        <v>152</v>
      </c>
      <c r="X9" s="22">
        <v>31648</v>
      </c>
      <c r="Y9" s="22"/>
      <c r="Z9" s="22"/>
      <c r="AA9" s="22"/>
      <c r="AB9" s="22"/>
      <c r="AC9" s="22"/>
      <c r="AD9" s="22"/>
      <c r="AE9" s="22"/>
    </row>
    <row r="10" spans="1:33">
      <c r="A10" s="22"/>
      <c r="B10" s="28"/>
      <c r="C10" s="27"/>
      <c r="D10" s="22" t="s">
        <v>153</v>
      </c>
      <c r="E10" s="22">
        <v>0</v>
      </c>
      <c r="F10" s="22"/>
      <c r="G10" s="22" t="s">
        <v>154</v>
      </c>
      <c r="H10" s="22">
        <f>380000*1.1</f>
        <v>418000.00000000006</v>
      </c>
      <c r="I10" s="22"/>
      <c r="J10" s="22"/>
      <c r="K10" s="22"/>
      <c r="L10" s="22"/>
      <c r="M10" s="25" t="s">
        <v>155</v>
      </c>
      <c r="N10" s="26">
        <v>4600000</v>
      </c>
      <c r="O10" s="26">
        <v>410000</v>
      </c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</row>
    <row r="11" spans="1:33">
      <c r="A11" s="22"/>
      <c r="B11" s="28"/>
      <c r="C11" s="27"/>
      <c r="D11" s="22" t="s">
        <v>156</v>
      </c>
      <c r="E11" s="22">
        <f>280000*1.1</f>
        <v>308000</v>
      </c>
      <c r="F11" s="22"/>
      <c r="G11" s="22" t="s">
        <v>157</v>
      </c>
      <c r="H11" s="22">
        <f>660000*1.1</f>
        <v>726000.00000000012</v>
      </c>
      <c r="I11" s="22"/>
      <c r="J11" s="22"/>
      <c r="K11" s="22"/>
      <c r="L11" s="22"/>
      <c r="M11" s="25" t="s">
        <v>158</v>
      </c>
      <c r="N11" s="26">
        <v>4600000</v>
      </c>
      <c r="O11" s="26">
        <v>530000</v>
      </c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3">
      <c r="A12" s="22"/>
      <c r="B12" s="22"/>
      <c r="C12" s="22"/>
      <c r="D12" s="22" t="s">
        <v>159</v>
      </c>
      <c r="E12" s="22">
        <v>0</v>
      </c>
      <c r="F12" s="22"/>
      <c r="G12" s="22" t="s">
        <v>160</v>
      </c>
      <c r="H12" s="22">
        <v>0</v>
      </c>
      <c r="I12" s="22"/>
      <c r="J12" s="22"/>
      <c r="K12" s="22"/>
      <c r="L12" s="22"/>
      <c r="M12" s="25" t="s">
        <v>161</v>
      </c>
      <c r="N12" s="26">
        <v>4600000</v>
      </c>
      <c r="O12" s="26">
        <v>580000</v>
      </c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spans="1:33">
      <c r="A13" s="22"/>
      <c r="B13" s="22"/>
      <c r="C13" s="22"/>
      <c r="D13" s="22" t="s">
        <v>162</v>
      </c>
      <c r="E13" s="22">
        <f>900000*1.1</f>
        <v>990000.00000000012</v>
      </c>
      <c r="F13" s="22"/>
      <c r="G13" s="22" t="s">
        <v>163</v>
      </c>
      <c r="H13" s="22">
        <f>900000*1.1</f>
        <v>990000.00000000012</v>
      </c>
      <c r="I13" s="22"/>
      <c r="J13" s="22"/>
      <c r="K13" s="22"/>
      <c r="L13" s="22"/>
      <c r="M13" s="25" t="s">
        <v>164</v>
      </c>
      <c r="N13" s="26">
        <v>4600000</v>
      </c>
      <c r="O13" s="26">
        <v>480000</v>
      </c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1:33">
      <c r="A14" s="22"/>
      <c r="B14" s="22"/>
      <c r="C14" s="22"/>
      <c r="D14" s="22" t="s">
        <v>165</v>
      </c>
      <c r="E14" s="22">
        <v>0</v>
      </c>
      <c r="F14" s="22"/>
      <c r="G14" s="22" t="s">
        <v>166</v>
      </c>
      <c r="H14" s="22">
        <f>400000*1.1</f>
        <v>440000.00000000006</v>
      </c>
      <c r="I14" s="22"/>
      <c r="J14" s="22"/>
      <c r="K14" s="22"/>
      <c r="L14" s="22"/>
      <c r="M14" s="25" t="s">
        <v>167</v>
      </c>
      <c r="N14" s="26">
        <v>4600000</v>
      </c>
      <c r="O14" s="26">
        <v>440000</v>
      </c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3">
      <c r="A15" s="22"/>
      <c r="B15" s="22"/>
      <c r="C15" s="22"/>
      <c r="D15" s="22" t="s">
        <v>168</v>
      </c>
      <c r="E15" s="22">
        <f>300000*1.1</f>
        <v>330000</v>
      </c>
      <c r="F15" s="22"/>
      <c r="G15" s="22" t="s">
        <v>169</v>
      </c>
      <c r="H15" s="22">
        <f>700000*1.1</f>
        <v>770000.00000000012</v>
      </c>
      <c r="I15" s="22" t="e" cm="1">
        <f t="array" ref="I15">_xlfn.XLOOKUP('입력 시트'!D12&amp;'입력 시트'!C17&amp;'입력 시트'!D17,옵션DB!D10,옵션DB!K2:K5)</f>
        <v>#N/A</v>
      </c>
      <c r="J15" s="22"/>
      <c r="K15" s="22"/>
      <c r="L15" s="22"/>
      <c r="M15" s="25" t="s">
        <v>170</v>
      </c>
      <c r="N15" s="26">
        <v>4600000</v>
      </c>
      <c r="O15" s="26">
        <v>640000</v>
      </c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1:33">
      <c r="A16" s="22"/>
      <c r="B16" s="22"/>
      <c r="C16" s="22"/>
      <c r="D16" s="22" t="s">
        <v>171</v>
      </c>
      <c r="E16" s="22">
        <v>0</v>
      </c>
      <c r="F16" s="22"/>
      <c r="G16" s="22" t="s">
        <v>172</v>
      </c>
      <c r="H16" s="22">
        <v>0</v>
      </c>
      <c r="I16" s="22"/>
      <c r="J16" s="22"/>
      <c r="K16" s="22"/>
      <c r="L16" s="22"/>
      <c r="M16" s="25" t="s">
        <v>173</v>
      </c>
      <c r="N16" s="26">
        <v>4600000</v>
      </c>
      <c r="O16" s="26">
        <v>540000</v>
      </c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1:31">
      <c r="A17" s="22"/>
      <c r="B17" s="22"/>
      <c r="C17" s="22"/>
      <c r="D17" s="22" t="s">
        <v>174</v>
      </c>
      <c r="E17" s="22">
        <f>1000000*1.1</f>
        <v>1100000</v>
      </c>
      <c r="F17" s="22"/>
      <c r="G17" s="22" t="s">
        <v>175</v>
      </c>
      <c r="H17" s="22">
        <f>1000000*1.1</f>
        <v>1100000</v>
      </c>
      <c r="I17" s="22"/>
      <c r="J17" s="22"/>
      <c r="K17" s="22"/>
      <c r="L17" s="22"/>
      <c r="M17" s="25" t="s">
        <v>176</v>
      </c>
      <c r="N17" s="26">
        <v>4600000</v>
      </c>
      <c r="O17" s="26">
        <v>460000</v>
      </c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 spans="1:3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5" t="s">
        <v>177</v>
      </c>
      <c r="N18" s="26">
        <v>4600000</v>
      </c>
      <c r="O18" s="26">
        <v>490000</v>
      </c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3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5" t="s">
        <v>178</v>
      </c>
      <c r="N19" s="26">
        <v>4600000</v>
      </c>
      <c r="O19" s="26">
        <v>440000</v>
      </c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 spans="1:3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5" t="s">
        <v>179</v>
      </c>
      <c r="N20" s="26">
        <v>6440000</v>
      </c>
      <c r="O20" s="26">
        <v>380000</v>
      </c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 spans="1:3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5" t="s">
        <v>180</v>
      </c>
      <c r="N21" s="26">
        <v>3450000</v>
      </c>
      <c r="O21" s="26">
        <v>340000</v>
      </c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:3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5" t="s">
        <v>181</v>
      </c>
      <c r="N22" s="26">
        <v>6900000</v>
      </c>
      <c r="O22" s="26">
        <v>310000</v>
      </c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 spans="1:3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5" t="s">
        <v>182</v>
      </c>
      <c r="N23" s="26">
        <v>6550000</v>
      </c>
      <c r="O23" s="26">
        <v>310000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 spans="1:3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5" t="s">
        <v>183</v>
      </c>
      <c r="N24" s="26">
        <v>4600000</v>
      </c>
      <c r="O24" s="26">
        <v>310000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  <row r="25" spans="1:3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5" t="s">
        <v>184</v>
      </c>
      <c r="N25" s="26">
        <v>5750000</v>
      </c>
      <c r="O25" s="26">
        <v>340000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</row>
    <row r="26" spans="1:3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5" t="s">
        <v>6</v>
      </c>
      <c r="N26" s="26">
        <v>5290000</v>
      </c>
      <c r="O26" s="26">
        <v>280000</v>
      </c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 spans="1:3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5" t="s">
        <v>185</v>
      </c>
      <c r="N27" s="26">
        <v>4600000</v>
      </c>
      <c r="O27" s="26">
        <v>340000</v>
      </c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 spans="1:3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5" t="s">
        <v>186</v>
      </c>
      <c r="N28" s="26">
        <v>3450000</v>
      </c>
      <c r="O28" s="26">
        <v>350000</v>
      </c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 spans="1:3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5" t="s">
        <v>187</v>
      </c>
      <c r="N29" s="26">
        <v>5750000</v>
      </c>
      <c r="O29" s="26">
        <v>380000</v>
      </c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</row>
    <row r="30" spans="1:3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5" t="s">
        <v>188</v>
      </c>
      <c r="N30" s="26">
        <v>3450000</v>
      </c>
      <c r="O30" s="26">
        <v>325000</v>
      </c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 spans="1: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5" t="s">
        <v>189</v>
      </c>
      <c r="N31" s="26">
        <v>4600000</v>
      </c>
      <c r="O31" s="26">
        <v>310000</v>
      </c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1:3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5" t="s">
        <v>190</v>
      </c>
      <c r="N32" s="26">
        <v>4600000</v>
      </c>
      <c r="O32" s="26">
        <v>280000</v>
      </c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 spans="1:3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5" t="s">
        <v>191</v>
      </c>
      <c r="N33" s="26">
        <v>4600000</v>
      </c>
      <c r="O33" s="26">
        <v>290000</v>
      </c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 spans="1:3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5" t="s">
        <v>192</v>
      </c>
      <c r="N34" s="26">
        <v>5170000</v>
      </c>
      <c r="O34" s="26">
        <v>280000</v>
      </c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</row>
    <row r="35" spans="1:3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5" t="s">
        <v>193</v>
      </c>
      <c r="N35" s="26">
        <v>5750000</v>
      </c>
      <c r="O35" s="26">
        <v>290000</v>
      </c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</row>
    <row r="36" spans="1:3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5" t="s">
        <v>194</v>
      </c>
      <c r="N36" s="26">
        <v>4880000</v>
      </c>
      <c r="O36" s="26">
        <v>290000</v>
      </c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 spans="1:3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5" t="s">
        <v>195</v>
      </c>
      <c r="N37" s="26">
        <v>5750000</v>
      </c>
      <c r="O37" s="26">
        <v>360000</v>
      </c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 spans="1:3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5" t="s">
        <v>196</v>
      </c>
      <c r="N38" s="26">
        <v>8050000</v>
      </c>
      <c r="O38" s="26">
        <v>340000</v>
      </c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</row>
    <row r="39" spans="1:3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5" t="s">
        <v>197</v>
      </c>
      <c r="N39" s="26">
        <v>8050000</v>
      </c>
      <c r="O39" s="26">
        <v>320000</v>
      </c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3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5" t="s">
        <v>198</v>
      </c>
      <c r="N40" s="26">
        <v>7470000</v>
      </c>
      <c r="O40" s="26">
        <v>410000</v>
      </c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3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5" t="s">
        <v>199</v>
      </c>
      <c r="N41" s="26">
        <v>5290000</v>
      </c>
      <c r="O41" s="26">
        <v>280000</v>
      </c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 spans="1:3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5" t="s">
        <v>200</v>
      </c>
      <c r="N42" s="26">
        <v>4600000</v>
      </c>
      <c r="O42" s="26">
        <v>265000</v>
      </c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 spans="1:3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5" t="s">
        <v>201</v>
      </c>
      <c r="N43" s="26">
        <v>5170000</v>
      </c>
      <c r="O43" s="26">
        <v>280000</v>
      </c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5" t="s">
        <v>202</v>
      </c>
      <c r="N44" s="26">
        <v>4140000</v>
      </c>
      <c r="O44" s="26">
        <v>350000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5" t="s">
        <v>203</v>
      </c>
      <c r="N45" s="26">
        <v>5750000</v>
      </c>
      <c r="O45" s="26">
        <v>310000</v>
      </c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 spans="1:3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5" t="s">
        <v>204</v>
      </c>
      <c r="N46" s="26">
        <v>5750000</v>
      </c>
      <c r="O46" s="26">
        <v>380000</v>
      </c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 spans="1:3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5" t="s">
        <v>205</v>
      </c>
      <c r="N47" s="26">
        <v>6320000</v>
      </c>
      <c r="O47" s="26">
        <v>280000</v>
      </c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 spans="1:3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5" t="s">
        <v>206</v>
      </c>
      <c r="N48" s="26">
        <v>5750000</v>
      </c>
      <c r="O48" s="26">
        <v>380000</v>
      </c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 spans="1:3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5" t="s">
        <v>207</v>
      </c>
      <c r="N49" s="26">
        <v>3450000</v>
      </c>
      <c r="O49" s="26">
        <v>325000</v>
      </c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 spans="1:3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5" t="s">
        <v>208</v>
      </c>
      <c r="N50" s="26">
        <v>5170000</v>
      </c>
      <c r="O50" s="26">
        <v>240000</v>
      </c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 spans="1:3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5" t="s">
        <v>209</v>
      </c>
      <c r="N51" s="26">
        <v>4030000</v>
      </c>
      <c r="O51" s="26">
        <v>720000</v>
      </c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 spans="1:3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5" t="s">
        <v>210</v>
      </c>
      <c r="N52" s="26">
        <v>4150000</v>
      </c>
      <c r="O52" s="26">
        <v>520000</v>
      </c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 spans="1:3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5" t="s">
        <v>211</v>
      </c>
      <c r="N53" s="26">
        <v>3450000</v>
      </c>
      <c r="O53" s="26">
        <v>660000</v>
      </c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 spans="1:3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5" t="s">
        <v>212</v>
      </c>
      <c r="N54" s="26">
        <v>3450000</v>
      </c>
      <c r="O54" s="26">
        <v>640000</v>
      </c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 spans="1:3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5" t="s">
        <v>213</v>
      </c>
      <c r="N55" s="26">
        <v>3450000</v>
      </c>
      <c r="O55" s="26">
        <v>690000</v>
      </c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 spans="1:3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5" t="s">
        <v>214</v>
      </c>
      <c r="N56" s="26">
        <v>4600000</v>
      </c>
      <c r="O56" s="26">
        <v>590000</v>
      </c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 spans="1:3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5" t="s">
        <v>215</v>
      </c>
      <c r="N57" s="26">
        <v>4030000</v>
      </c>
      <c r="O57" s="26">
        <v>640000</v>
      </c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 spans="1:3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5" t="s">
        <v>216</v>
      </c>
      <c r="N58" s="26">
        <v>3450000</v>
      </c>
      <c r="O58" s="26">
        <v>580000</v>
      </c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 spans="1:3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5" t="s">
        <v>217</v>
      </c>
      <c r="N59" s="26">
        <v>3450000</v>
      </c>
      <c r="O59" s="26">
        <v>660000</v>
      </c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</row>
    <row r="60" spans="1:3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5" t="s">
        <v>218</v>
      </c>
      <c r="N60" s="26">
        <v>3450000</v>
      </c>
      <c r="O60" s="26">
        <v>590000</v>
      </c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 spans="1:3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5" t="s">
        <v>219</v>
      </c>
      <c r="N61" s="26">
        <v>3450000</v>
      </c>
      <c r="O61" s="26">
        <v>610000</v>
      </c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</row>
    <row r="62" spans="1:3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5" t="s">
        <v>220</v>
      </c>
      <c r="N62" s="26">
        <v>5750000</v>
      </c>
      <c r="O62" s="26">
        <v>560000</v>
      </c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spans="1:3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5" t="s">
        <v>221</v>
      </c>
      <c r="N63" s="26">
        <v>3450000</v>
      </c>
      <c r="O63" s="26">
        <v>630000</v>
      </c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:3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5" t="s">
        <v>222</v>
      </c>
      <c r="N64" s="26">
        <v>6330000</v>
      </c>
      <c r="O64" s="26">
        <v>690000</v>
      </c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spans="1:3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5" t="s">
        <v>223</v>
      </c>
      <c r="N65" s="26">
        <v>3450000</v>
      </c>
      <c r="O65" s="26">
        <v>630000</v>
      </c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 spans="1:3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5" t="s">
        <v>224</v>
      </c>
      <c r="N66" s="26">
        <v>3450000</v>
      </c>
      <c r="O66" s="26">
        <v>590000</v>
      </c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spans="1:3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5" t="s">
        <v>225</v>
      </c>
      <c r="N67" s="26">
        <v>4370000</v>
      </c>
      <c r="O67" s="26">
        <v>540000</v>
      </c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</row>
    <row r="68" spans="1:3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5" t="s">
        <v>226</v>
      </c>
      <c r="N68" s="26">
        <v>7650000</v>
      </c>
      <c r="O68" s="26">
        <v>550000</v>
      </c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</row>
    <row r="69" spans="1:3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5" t="s">
        <v>227</v>
      </c>
      <c r="N69" s="26">
        <v>6560000</v>
      </c>
      <c r="O69" s="26">
        <v>560000</v>
      </c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 spans="1:3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5" t="s">
        <v>228</v>
      </c>
      <c r="N70" s="26">
        <v>6560000</v>
      </c>
      <c r="O70" s="26">
        <v>640000</v>
      </c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 spans="1:3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5" t="s">
        <v>229</v>
      </c>
      <c r="N71" s="26">
        <v>6560000</v>
      </c>
      <c r="O71" s="26">
        <v>530000</v>
      </c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 spans="1:3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5" t="s">
        <v>230</v>
      </c>
      <c r="N72" s="26">
        <v>6560000</v>
      </c>
      <c r="O72" s="26">
        <v>460000</v>
      </c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spans="1:3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5" t="s">
        <v>231</v>
      </c>
      <c r="N73" s="26">
        <v>6560000</v>
      </c>
      <c r="O73" s="26">
        <v>440000</v>
      </c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 spans="1:3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5" t="s">
        <v>232</v>
      </c>
      <c r="N74" s="26">
        <v>6560000</v>
      </c>
      <c r="O74" s="26">
        <v>390000</v>
      </c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 spans="1:3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5" t="s">
        <v>233</v>
      </c>
      <c r="N75" s="26">
        <v>6560000</v>
      </c>
      <c r="O75" s="26">
        <v>540000</v>
      </c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 spans="1:3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5" t="s">
        <v>234</v>
      </c>
      <c r="N76" s="26">
        <v>6560000</v>
      </c>
      <c r="O76" s="26">
        <v>420000</v>
      </c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 spans="1:3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5" t="s">
        <v>235</v>
      </c>
      <c r="N77" s="26">
        <v>6560000</v>
      </c>
      <c r="O77" s="26">
        <v>510000</v>
      </c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</row>
    <row r="78" spans="1:3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5" t="s">
        <v>236</v>
      </c>
      <c r="N78" s="26">
        <v>6560000</v>
      </c>
      <c r="O78" s="26">
        <v>490000</v>
      </c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 spans="1:3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5" t="s">
        <v>237</v>
      </c>
      <c r="N79" s="26">
        <v>6560000</v>
      </c>
      <c r="O79" s="26">
        <v>680000</v>
      </c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</row>
    <row r="80" spans="1:3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5" t="s">
        <v>238</v>
      </c>
      <c r="N80" s="26">
        <v>6560000</v>
      </c>
      <c r="O80" s="26">
        <v>640000</v>
      </c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</row>
    <row r="81" spans="1:3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5" t="s">
        <v>239</v>
      </c>
      <c r="N81" s="26">
        <v>6560000</v>
      </c>
      <c r="O81" s="26">
        <v>480000</v>
      </c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</row>
    <row r="82" spans="1:3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5" t="s">
        <v>240</v>
      </c>
      <c r="N82" s="26">
        <v>6560000</v>
      </c>
      <c r="O82" s="26">
        <v>560000</v>
      </c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 spans="1:3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5" t="s">
        <v>241</v>
      </c>
      <c r="N83" s="26">
        <v>6560000</v>
      </c>
      <c r="O83" s="26">
        <v>450000</v>
      </c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</row>
    <row r="84" spans="1:3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5" t="s">
        <v>242</v>
      </c>
      <c r="N84" s="26">
        <v>12040000</v>
      </c>
      <c r="O84" s="25">
        <v>1150000</v>
      </c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</row>
    <row r="85" spans="1:3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5" t="s">
        <v>243</v>
      </c>
      <c r="N85" s="26">
        <v>6560000</v>
      </c>
      <c r="O85" s="26">
        <v>732000</v>
      </c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</row>
    <row r="86" spans="1:3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5" t="s">
        <v>244</v>
      </c>
      <c r="N86" s="26">
        <v>6560000</v>
      </c>
      <c r="O86" s="26">
        <v>510000</v>
      </c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</row>
    <row r="87" spans="1:3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5" t="s">
        <v>245</v>
      </c>
      <c r="N87" s="26">
        <v>6560000</v>
      </c>
      <c r="O87" s="26">
        <v>580000</v>
      </c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</row>
    <row r="88" spans="1:3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5" t="s">
        <v>246</v>
      </c>
      <c r="N88" s="26">
        <v>6560000</v>
      </c>
      <c r="O88" s="26">
        <v>590000</v>
      </c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</row>
    <row r="89" spans="1:3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5" t="s">
        <v>247</v>
      </c>
      <c r="N89" s="26">
        <v>6560000</v>
      </c>
      <c r="O89" s="26">
        <v>510000</v>
      </c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</row>
    <row r="90" spans="1:3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5" t="s">
        <v>248</v>
      </c>
      <c r="N90" s="26">
        <v>6560000</v>
      </c>
      <c r="O90" s="26">
        <v>630000</v>
      </c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</row>
    <row r="91" spans="1:3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5" t="s">
        <v>249</v>
      </c>
      <c r="N91" s="26">
        <v>0</v>
      </c>
      <c r="O91" s="25" t="s">
        <v>250</v>
      </c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</row>
    <row r="92" spans="1:3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5" t="s">
        <v>251</v>
      </c>
      <c r="N92" s="26">
        <v>3450000</v>
      </c>
      <c r="O92" s="26">
        <v>560000</v>
      </c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</row>
    <row r="93" spans="1:3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5" t="s">
        <v>252</v>
      </c>
      <c r="N93" s="26">
        <v>3450000</v>
      </c>
      <c r="O93" s="26">
        <v>540000</v>
      </c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</row>
    <row r="94" spans="1:3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5" t="s">
        <v>253</v>
      </c>
      <c r="N94" s="26">
        <v>3450000</v>
      </c>
      <c r="O94" s="26">
        <v>420000</v>
      </c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</row>
    <row r="95" spans="1:3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5" t="s">
        <v>254</v>
      </c>
      <c r="N95" s="26">
        <v>3450000</v>
      </c>
      <c r="O95" s="26">
        <v>680000</v>
      </c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</row>
    <row r="96" spans="1:3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5" t="s">
        <v>255</v>
      </c>
      <c r="N96" s="26">
        <v>3300000</v>
      </c>
      <c r="O96" s="26">
        <v>325000</v>
      </c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</row>
    <row r="97" spans="1:3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5" t="s">
        <v>256</v>
      </c>
      <c r="N97" s="26">
        <v>3450000</v>
      </c>
      <c r="O97" s="26">
        <v>390000</v>
      </c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</row>
    <row r="98" spans="1:3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5" t="s">
        <v>257</v>
      </c>
      <c r="N98" s="26">
        <v>3450000</v>
      </c>
      <c r="O98" s="26">
        <v>660000</v>
      </c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</row>
    <row r="99" spans="1:3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5" t="s">
        <v>258</v>
      </c>
      <c r="N99" s="26">
        <v>3450000</v>
      </c>
      <c r="O99" s="26">
        <v>325000</v>
      </c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</row>
    <row r="100" spans="1:3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5" t="s">
        <v>259</v>
      </c>
      <c r="N100" s="26">
        <v>8050000</v>
      </c>
      <c r="O100" s="26">
        <v>660000</v>
      </c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</row>
    <row r="101" spans="1:3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5" t="s">
        <v>260</v>
      </c>
      <c r="N101" s="26">
        <v>8050000</v>
      </c>
      <c r="O101" s="26">
        <v>690000</v>
      </c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</row>
    <row r="102" spans="1:3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5" t="s">
        <v>261</v>
      </c>
      <c r="N102" s="26">
        <v>6900000</v>
      </c>
      <c r="O102" s="26">
        <v>560000</v>
      </c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</row>
    <row r="103" spans="1:3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5" t="s">
        <v>262</v>
      </c>
      <c r="N103" s="26">
        <v>3450000</v>
      </c>
      <c r="O103" s="26">
        <v>640000</v>
      </c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</row>
    <row r="104" spans="1:3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5" t="s">
        <v>263</v>
      </c>
      <c r="N104" s="26">
        <v>7500000</v>
      </c>
      <c r="O104" s="26">
        <v>590000</v>
      </c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</row>
    <row r="105" spans="1:3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5" t="s">
        <v>264</v>
      </c>
      <c r="N105" s="26">
        <v>5750000</v>
      </c>
      <c r="O105" s="26">
        <v>590000</v>
      </c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</row>
    <row r="106" spans="1:3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5" t="s">
        <v>265</v>
      </c>
      <c r="N106" s="26">
        <v>5750000</v>
      </c>
      <c r="O106" s="26">
        <v>540000</v>
      </c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</row>
    <row r="107" spans="1:3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5" t="s">
        <v>266</v>
      </c>
      <c r="N107" s="26">
        <v>4600000</v>
      </c>
      <c r="O107" s="26">
        <v>610000</v>
      </c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</row>
    <row r="108" spans="1:3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5" t="s">
        <v>267</v>
      </c>
      <c r="N108" s="26">
        <v>4600000</v>
      </c>
      <c r="O108" s="26">
        <v>610000</v>
      </c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</row>
    <row r="109" spans="1:3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5" t="s">
        <v>268</v>
      </c>
      <c r="N109" s="26">
        <v>9770000</v>
      </c>
      <c r="O109" s="26">
        <v>660000</v>
      </c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</row>
    <row r="110" spans="1:3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5" t="s">
        <v>269</v>
      </c>
      <c r="N110" s="26">
        <v>4600000</v>
      </c>
      <c r="O110" s="26">
        <v>630000</v>
      </c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 spans="1:3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5" t="s">
        <v>270</v>
      </c>
      <c r="N111" s="26">
        <v>6900000</v>
      </c>
      <c r="O111" s="26">
        <v>680000</v>
      </c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</row>
    <row r="112" spans="1:3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5" t="s">
        <v>271</v>
      </c>
      <c r="N112" s="26">
        <v>4600000</v>
      </c>
      <c r="O112" s="26">
        <v>670000</v>
      </c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</row>
    <row r="113" spans="1:3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5" t="s">
        <v>272</v>
      </c>
      <c r="N113" s="26">
        <v>6900000</v>
      </c>
      <c r="O113" s="26">
        <v>550000</v>
      </c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</row>
    <row r="114" spans="1:3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5" t="s">
        <v>273</v>
      </c>
      <c r="N114" s="26">
        <v>9550000</v>
      </c>
      <c r="O114" s="26">
        <v>620000</v>
      </c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</row>
    <row r="115" spans="1:3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5" t="s">
        <v>274</v>
      </c>
      <c r="N115" s="26">
        <v>8050000</v>
      </c>
      <c r="O115" s="26">
        <v>760000</v>
      </c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</row>
    <row r="116" spans="1:3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5" t="s">
        <v>275</v>
      </c>
      <c r="N116" s="26">
        <v>6320000</v>
      </c>
      <c r="O116" s="26">
        <v>540000</v>
      </c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</row>
    <row r="117" spans="1:3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5" t="s">
        <v>276</v>
      </c>
      <c r="N117" s="26">
        <v>8050000</v>
      </c>
      <c r="O117" s="26">
        <v>660000</v>
      </c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</row>
    <row r="118" spans="1:3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5" t="s">
        <v>277</v>
      </c>
      <c r="N118" s="26">
        <v>6900000</v>
      </c>
      <c r="O118" s="26">
        <v>760000</v>
      </c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</row>
    <row r="119" spans="1:3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5" t="s">
        <v>278</v>
      </c>
      <c r="N119" s="26">
        <v>5750000</v>
      </c>
      <c r="O119" s="26">
        <v>580000</v>
      </c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</row>
    <row r="120" spans="1:3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5" t="s">
        <v>279</v>
      </c>
      <c r="N120" s="26">
        <v>7250000</v>
      </c>
      <c r="O120" s="26">
        <v>710000</v>
      </c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</row>
    <row r="121" spans="1:3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5" t="s">
        <v>280</v>
      </c>
      <c r="N121" s="26">
        <v>5750000</v>
      </c>
      <c r="O121" s="26">
        <v>590000</v>
      </c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</row>
    <row r="122" spans="1:3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5" t="s">
        <v>281</v>
      </c>
      <c r="N122" s="26">
        <v>7670000</v>
      </c>
      <c r="O122" s="26">
        <v>500000</v>
      </c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</row>
    <row r="123" spans="1:3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5" t="s">
        <v>282</v>
      </c>
      <c r="N123" s="26">
        <v>7670000</v>
      </c>
      <c r="O123" s="26">
        <v>420000</v>
      </c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</row>
    <row r="124" spans="1:3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5" t="s">
        <v>283</v>
      </c>
      <c r="N124" s="26">
        <v>7670000</v>
      </c>
      <c r="O124" s="26">
        <v>450000</v>
      </c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</row>
    <row r="125" spans="1:3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5" t="s">
        <v>284</v>
      </c>
      <c r="N125" s="26">
        <v>7670000</v>
      </c>
      <c r="O125" s="26">
        <v>520000</v>
      </c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</row>
    <row r="126" spans="1:3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5" t="s">
        <v>285</v>
      </c>
      <c r="N126" s="26">
        <v>7670000</v>
      </c>
      <c r="O126" s="26">
        <v>460000</v>
      </c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</row>
    <row r="127" spans="1:3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5" t="s">
        <v>286</v>
      </c>
      <c r="N127" s="26">
        <v>7670000</v>
      </c>
      <c r="O127" s="26">
        <v>470000</v>
      </c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</row>
    <row r="128" spans="1:3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5" t="s">
        <v>287</v>
      </c>
      <c r="N128" s="26">
        <v>7670000</v>
      </c>
      <c r="O128" s="26">
        <v>510000</v>
      </c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</row>
    <row r="129" spans="1:3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5" t="s">
        <v>288</v>
      </c>
      <c r="N129" s="26">
        <v>7670000</v>
      </c>
      <c r="O129" s="26">
        <v>440000</v>
      </c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</row>
    <row r="130" spans="1:3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5" t="s">
        <v>289</v>
      </c>
      <c r="N130" s="26">
        <v>7670000</v>
      </c>
      <c r="O130" s="26">
        <v>420000</v>
      </c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</row>
    <row r="131" spans="1: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5" t="s">
        <v>290</v>
      </c>
      <c r="N131" s="26">
        <v>7670000</v>
      </c>
      <c r="O131" s="26">
        <v>480000</v>
      </c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</row>
    <row r="132" spans="1:3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5" t="s">
        <v>291</v>
      </c>
      <c r="N132" s="26">
        <v>7670000</v>
      </c>
      <c r="O132" s="26">
        <v>500000</v>
      </c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</row>
    <row r="133" spans="1:3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5" t="s">
        <v>292</v>
      </c>
      <c r="N133" s="26">
        <v>7670000</v>
      </c>
      <c r="O133" s="26">
        <v>440000</v>
      </c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</row>
    <row r="134" spans="1:3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5" t="s">
        <v>293</v>
      </c>
      <c r="N134" s="26">
        <v>7670000</v>
      </c>
      <c r="O134" s="26">
        <v>480000</v>
      </c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</row>
    <row r="135" spans="1:3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5" t="s">
        <v>294</v>
      </c>
      <c r="N135" s="26">
        <v>7670000</v>
      </c>
      <c r="O135" s="26">
        <v>480000</v>
      </c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</row>
    <row r="136" spans="1:3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5" t="s">
        <v>295</v>
      </c>
      <c r="N136" s="26">
        <v>5470000</v>
      </c>
      <c r="O136" s="26">
        <v>950000</v>
      </c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</row>
    <row r="137" spans="1:3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5" t="s">
        <v>296</v>
      </c>
      <c r="N137" s="26">
        <v>8000000</v>
      </c>
      <c r="O137" s="26">
        <v>390000</v>
      </c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</row>
    <row r="138" spans="1:3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5" t="s">
        <v>297</v>
      </c>
      <c r="N138" s="26">
        <v>8000000</v>
      </c>
      <c r="O138" s="26">
        <v>370000</v>
      </c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</row>
    <row r="139" spans="1:3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5" t="s">
        <v>298</v>
      </c>
      <c r="N139" s="26">
        <v>8000000</v>
      </c>
      <c r="O139" s="26">
        <v>430000</v>
      </c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</row>
    <row r="140" spans="1:3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5" t="s">
        <v>299</v>
      </c>
      <c r="N140" s="26">
        <v>8000000</v>
      </c>
      <c r="O140" s="26">
        <v>410000</v>
      </c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</row>
    <row r="141" spans="1:3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5" t="s">
        <v>300</v>
      </c>
      <c r="N141" s="26">
        <v>8000000</v>
      </c>
      <c r="O141" s="26">
        <v>330000</v>
      </c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</row>
    <row r="142" spans="1:3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5" t="s">
        <v>301</v>
      </c>
      <c r="N142" s="26">
        <v>8000000</v>
      </c>
      <c r="O142" s="26">
        <v>420000</v>
      </c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</row>
    <row r="143" spans="1:3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5" t="s">
        <v>302</v>
      </c>
      <c r="N143" s="26">
        <v>8000000</v>
      </c>
      <c r="O143" s="26">
        <v>410000</v>
      </c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</row>
    <row r="144" spans="1:3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5" t="s">
        <v>303</v>
      </c>
      <c r="N144" s="26">
        <v>8000000</v>
      </c>
      <c r="O144" s="26">
        <v>350000</v>
      </c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</row>
    <row r="145" spans="1:3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5" t="s">
        <v>304</v>
      </c>
      <c r="N145" s="26">
        <v>8000000</v>
      </c>
      <c r="O145" s="26">
        <v>430000</v>
      </c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</row>
    <row r="146" spans="1:3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5" t="s">
        <v>305</v>
      </c>
      <c r="N146" s="26">
        <v>8000000</v>
      </c>
      <c r="O146" s="26">
        <v>320000</v>
      </c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</row>
    <row r="147" spans="1:3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5" t="s">
        <v>306</v>
      </c>
      <c r="N147" s="26">
        <v>8000000</v>
      </c>
      <c r="O147" s="26">
        <v>340000</v>
      </c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</row>
    <row r="148" spans="1:3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5" t="s">
        <v>307</v>
      </c>
      <c r="N148" s="26">
        <v>8000000</v>
      </c>
      <c r="O148" s="26">
        <v>320000</v>
      </c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</row>
    <row r="149" spans="1:3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5" t="s">
        <v>308</v>
      </c>
      <c r="N149" s="26">
        <v>8000000</v>
      </c>
      <c r="O149" s="26">
        <v>390000</v>
      </c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</row>
    <row r="150" spans="1:3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5" t="s">
        <v>309</v>
      </c>
      <c r="N150" s="26">
        <v>8000000</v>
      </c>
      <c r="O150" s="26">
        <v>360000</v>
      </c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</row>
    <row r="151" spans="1:3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5" t="s">
        <v>310</v>
      </c>
      <c r="N151" s="26">
        <v>8000000</v>
      </c>
      <c r="O151" s="26">
        <v>370000</v>
      </c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</row>
    <row r="152" spans="1:3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5" t="s">
        <v>311</v>
      </c>
      <c r="N152" s="26">
        <v>7660000</v>
      </c>
      <c r="O152" s="26">
        <v>390000</v>
      </c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</row>
    <row r="153" spans="1:3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5" t="s">
        <v>312</v>
      </c>
      <c r="N153" s="26">
        <v>7660000</v>
      </c>
      <c r="O153" s="26">
        <v>460000</v>
      </c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</row>
    <row r="154" spans="1:3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5" t="s">
        <v>313</v>
      </c>
      <c r="N154" s="26">
        <v>7660000</v>
      </c>
      <c r="O154" s="26">
        <v>410000</v>
      </c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</row>
    <row r="155" spans="1:3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5" t="s">
        <v>314</v>
      </c>
      <c r="N155" s="26">
        <v>7660000</v>
      </c>
      <c r="O155" s="26">
        <v>450000</v>
      </c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</row>
    <row r="156" spans="1:3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5" t="s">
        <v>315</v>
      </c>
      <c r="N156" s="26">
        <v>7660000</v>
      </c>
      <c r="O156" s="26">
        <v>420000</v>
      </c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</row>
    <row r="157" spans="1:3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5" t="s">
        <v>316</v>
      </c>
      <c r="N157" s="26">
        <v>7660000</v>
      </c>
      <c r="O157" s="26">
        <v>380000</v>
      </c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</row>
    <row r="158" spans="1:3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5" t="s">
        <v>317</v>
      </c>
      <c r="N158" s="26">
        <v>7660000</v>
      </c>
      <c r="O158" s="26">
        <v>430000</v>
      </c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</row>
    <row r="159" spans="1:3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5" t="s">
        <v>318</v>
      </c>
      <c r="N159" s="26">
        <v>7660000</v>
      </c>
      <c r="O159" s="26">
        <v>380000</v>
      </c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</row>
    <row r="160" spans="1:3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5" t="s">
        <v>319</v>
      </c>
      <c r="N160" s="26">
        <v>7660000</v>
      </c>
      <c r="O160" s="26">
        <v>360000</v>
      </c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</row>
    <row r="161" spans="1:3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5" t="s">
        <v>320</v>
      </c>
      <c r="N161" s="26">
        <v>7660000</v>
      </c>
      <c r="O161" s="26">
        <v>360000</v>
      </c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</row>
    <row r="162" spans="1:3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5" t="s">
        <v>321</v>
      </c>
      <c r="N162" s="26">
        <v>7660000</v>
      </c>
      <c r="O162" s="26">
        <v>390000</v>
      </c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</row>
    <row r="163" spans="1:3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6fe32c-d480-456a-a3e2-649e42f9d10d">
      <Terms xmlns="http://schemas.microsoft.com/office/infopath/2007/PartnerControls"/>
    </lcf76f155ced4ddcb4097134ff3c332f>
    <TaxCatchAll xmlns="a09ad84a-4c15-4094-bc27-8774ad27384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70FC0B7DAAA2648AE207ABD5A3766C1" ma:contentTypeVersion="17" ma:contentTypeDescription="새 문서를 만듭니다." ma:contentTypeScope="" ma:versionID="3190ee9720ce1ebb7a394bc4ca406abb">
  <xsd:schema xmlns:xsd="http://www.w3.org/2001/XMLSchema" xmlns:xs="http://www.w3.org/2001/XMLSchema" xmlns:p="http://schemas.microsoft.com/office/2006/metadata/properties" xmlns:ns2="046fe32c-d480-456a-a3e2-649e42f9d10d" xmlns:ns3="a09ad84a-4c15-4094-bc27-8774ad27384e" targetNamespace="http://schemas.microsoft.com/office/2006/metadata/properties" ma:root="true" ma:fieldsID="90eebbbff0994ae2791f9232b9cc1961" ns2:_="" ns3:_="">
    <xsd:import namespace="046fe32c-d480-456a-a3e2-649e42f9d10d"/>
    <xsd:import namespace="a09ad84a-4c15-4094-bc27-8774ad2738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6fe32c-d480-456a-a3e2-649e42f9d1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30399336-d497-4bf1-b439-58c023e25f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9ad84a-4c15-4094-bc27-8774ad27384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2f62217-f683-4a3f-8b69-d6e4dd5ab7a5}" ma:internalName="TaxCatchAll" ma:showField="CatchAllData" ma:web="a09ad84a-4c15-4094-bc27-8774ad2738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5F732D-C3F2-4FBF-8F3B-AA60DE3FE131}"/>
</file>

<file path=customXml/itemProps2.xml><?xml version="1.0" encoding="utf-8"?>
<ds:datastoreItem xmlns:ds="http://schemas.openxmlformats.org/officeDocument/2006/customXml" ds:itemID="{9DF1CD4B-F23B-4C25-8F57-DDDC9392664C}"/>
</file>

<file path=customXml/itemProps3.xml><?xml version="1.0" encoding="utf-8"?>
<ds:datastoreItem xmlns:ds="http://schemas.openxmlformats.org/officeDocument/2006/customXml" ds:itemID="{C9634387-54DC-42FB-A810-9C8AFA3492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2026-07-15T06:01:41Z</dcterms:created>
  <dcterms:modified xsi:type="dcterms:W3CDTF">2026-08-03T08:35:11Z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0x010100670FC0B7DAAA2648AE207ABD5A3766C1</vt:lpwstr>
  </property>
  <property fmtid="{D5CDD505-2E9C-101B-9397-08002B2CF9AE}" pid="3" name="MediaServiceImageTags">
    <vt:lpwstr/>
  </property>
</Properties>
</file>