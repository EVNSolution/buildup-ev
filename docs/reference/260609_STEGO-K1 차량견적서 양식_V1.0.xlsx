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evnsolution.sharepoint.com/sites/msteams_6521ac/Shared Documents/032. 후속플랫폼 개발/05. 판매/"/>
    </mc:Choice>
  </mc:AlternateContent>
  <xr:revisionPtr revIDLastSave="0" documentId="8_{1F257EF2-1828-4110-89BF-F997B2F4147E}" xr6:coauthVersionLast="47" xr6:coauthVersionMax="47" xr10:uidLastSave="{00000000-0000-0000-0000-000000000000}"/>
  <bookViews>
    <workbookView minimized="1" xWindow="1480" yWindow="1480" windowWidth="19200" windowHeight="11210" xr2:uid="{1172E07B-F618-4FBF-81AB-E861C0E0D30A}"/>
  </bookViews>
  <sheets>
    <sheet name="견적서" sheetId="5" r:id="rId1"/>
    <sheet name="옵션DB" sheetId="6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O1" i="6"/>
  <c r="O2" i="6"/>
  <c r="D26" i="5"/>
  <c r="D13" i="5"/>
  <c r="D25" i="5"/>
  <c r="D14" i="5"/>
  <c r="D12" i="5"/>
  <c r="H12" i="5" s="1"/>
  <c r="H25" i="5"/>
  <c r="D27" i="5" l="1"/>
  <c r="D17" i="5"/>
  <c r="D20" i="5" s="1"/>
  <c r="D16" i="5"/>
  <c r="H15" i="5" l="1"/>
  <c r="D21" i="5"/>
  <c r="H13" i="5"/>
  <c r="D22" i="5" l="1"/>
  <c r="D28" i="5" s="1"/>
  <c r="D29" i="5" l="1"/>
  <c r="H19" i="5"/>
  <c r="H28" i="5" s="1"/>
  <c r="H29" i="5" l="1"/>
</calcChain>
</file>

<file path=xl/sharedStrings.xml><?xml version="1.0" encoding="utf-8"?>
<sst xmlns="http://schemas.openxmlformats.org/spreadsheetml/2006/main" count="247" uniqueCount="239">
  <si>
    <t xml:space="preserve"> 차량 구매 견적서</t>
    <phoneticPr fontId="2" type="noConversion"/>
  </si>
  <si>
    <t>고객명</t>
    <phoneticPr fontId="2" type="noConversion"/>
  </si>
  <si>
    <t>범석환</t>
  </si>
  <si>
    <t>작성일자</t>
    <phoneticPr fontId="2" type="noConversion"/>
  </si>
  <si>
    <t>구분</t>
    <phoneticPr fontId="2" type="noConversion"/>
  </si>
  <si>
    <t>개인사업자</t>
  </si>
  <si>
    <t>지역</t>
    <phoneticPr fontId="2" type="noConversion"/>
  </si>
  <si>
    <t>경기 남양주시</t>
  </si>
  <si>
    <t>소상공인</t>
    <phoneticPr fontId="2" type="noConversion"/>
  </si>
  <si>
    <t>O</t>
  </si>
  <si>
    <t>경유차 폐차여부</t>
  </si>
  <si>
    <t>경유차없음</t>
  </si>
  <si>
    <t>차량/특장 옵션 (VAT 별도)</t>
    <phoneticPr fontId="2" type="noConversion"/>
  </si>
  <si>
    <t>내용</t>
    <phoneticPr fontId="2" type="noConversion"/>
  </si>
  <si>
    <t>가격(원)</t>
    <phoneticPr fontId="2" type="noConversion"/>
  </si>
  <si>
    <t>차량</t>
    <phoneticPr fontId="2" type="noConversion"/>
  </si>
  <si>
    <t>모델명</t>
    <phoneticPr fontId="2" type="noConversion"/>
  </si>
  <si>
    <t>STEGO-K</t>
    <phoneticPr fontId="2" type="noConversion"/>
  </si>
  <si>
    <t>등록 비용</t>
    <phoneticPr fontId="2" type="noConversion"/>
  </si>
  <si>
    <t>차량 취득세율</t>
    <phoneticPr fontId="2" type="noConversion"/>
  </si>
  <si>
    <t>PV5</t>
    <phoneticPr fontId="2" type="noConversion"/>
  </si>
  <si>
    <t>플러스</t>
  </si>
  <si>
    <t>차량 취득세</t>
    <phoneticPr fontId="2" type="noConversion"/>
  </si>
  <si>
    <t>냉동 특장</t>
  </si>
  <si>
    <t>탑 높이</t>
    <phoneticPr fontId="2" type="noConversion"/>
  </si>
  <si>
    <t>저상</t>
  </si>
  <si>
    <t>차량 취득세 감면</t>
    <phoneticPr fontId="2" type="noConversion"/>
  </si>
  <si>
    <t>도어옵션</t>
    <phoneticPr fontId="2" type="noConversion"/>
  </si>
  <si>
    <t>슬라이딩</t>
  </si>
  <si>
    <t>특장 취득세율</t>
    <phoneticPr fontId="2" type="noConversion"/>
  </si>
  <si>
    <t>도어추가</t>
    <phoneticPr fontId="2" type="noConversion"/>
  </si>
  <si>
    <t>X</t>
  </si>
  <si>
    <t>특장 취득세</t>
    <phoneticPr fontId="2" type="noConversion"/>
  </si>
  <si>
    <t>온도기록계</t>
    <phoneticPr fontId="2" type="noConversion"/>
  </si>
  <si>
    <t>증지대</t>
    <phoneticPr fontId="2" type="noConversion"/>
  </si>
  <si>
    <t>격벽</t>
    <phoneticPr fontId="2" type="noConversion"/>
  </si>
  <si>
    <t>번호판대</t>
    <phoneticPr fontId="2" type="noConversion"/>
  </si>
  <si>
    <t>판매 가격</t>
    <phoneticPr fontId="2" type="noConversion"/>
  </si>
  <si>
    <t>등록대행료</t>
    <phoneticPr fontId="2" type="noConversion"/>
  </si>
  <si>
    <t>총 등록 비용 ③</t>
    <phoneticPr fontId="2" type="noConversion"/>
  </si>
  <si>
    <t>가격</t>
    <phoneticPr fontId="2" type="noConversion"/>
  </si>
  <si>
    <t>공급가액</t>
    <phoneticPr fontId="2" type="noConversion"/>
  </si>
  <si>
    <t>부가세
(환급가능)</t>
    <phoneticPr fontId="2" type="noConversion"/>
  </si>
  <si>
    <t>차량가격 (VAT 포함)</t>
    <phoneticPr fontId="2" type="noConversion"/>
  </si>
  <si>
    <t>보조금</t>
    <phoneticPr fontId="2" type="noConversion"/>
  </si>
  <si>
    <t>전기차보조금</t>
    <phoneticPr fontId="2" type="noConversion"/>
  </si>
  <si>
    <t>국고보조금</t>
    <phoneticPr fontId="2" type="noConversion"/>
  </si>
  <si>
    <t>기타 비용</t>
  </si>
  <si>
    <t>탁송료</t>
    <phoneticPr fontId="2" type="noConversion"/>
  </si>
  <si>
    <t>지방보조금</t>
    <phoneticPr fontId="2" type="noConversion"/>
  </si>
  <si>
    <t>기타 수수료</t>
    <phoneticPr fontId="2" type="noConversion"/>
  </si>
  <si>
    <t>소상공인할인</t>
    <phoneticPr fontId="2" type="noConversion"/>
  </si>
  <si>
    <t>총 기타 비용 ④</t>
    <phoneticPr fontId="2" type="noConversion"/>
  </si>
  <si>
    <t>경유차 전환 
(법인만 해당)</t>
  </si>
  <si>
    <t>보조금 총액</t>
    <phoneticPr fontId="2" type="noConversion"/>
  </si>
  <si>
    <t>총합</t>
    <phoneticPr fontId="2" type="noConversion"/>
  </si>
  <si>
    <t>보조금 적용 ①</t>
    <phoneticPr fontId="2" type="noConversion"/>
  </si>
  <si>
    <t>총 비용</t>
    <phoneticPr fontId="2" type="noConversion"/>
  </si>
  <si>
    <t>①+③+④</t>
    <phoneticPr fontId="2" type="noConversion"/>
  </si>
  <si>
    <t>부가세 환급 후 ②</t>
    <phoneticPr fontId="2" type="noConversion"/>
  </si>
  <si>
    <t>부가세 환급후 
총 비용(실구매가)</t>
    <phoneticPr fontId="2" type="noConversion"/>
  </si>
  <si>
    <t>②+③+④</t>
    <phoneticPr fontId="2" type="noConversion"/>
  </si>
  <si>
    <t>* 탁송료 및 보조금 등은 상황에 따라서 변경될 수 있습니다.</t>
    <phoneticPr fontId="2" type="noConversion"/>
  </si>
  <si>
    <t>* 당사의 프로모션은 매달 변경될 수 있습니다.</t>
    <phoneticPr fontId="2" type="noConversion"/>
  </si>
  <si>
    <t>저상 여닫이 도어추가 X</t>
    <phoneticPr fontId="2" type="noConversion"/>
  </si>
  <si>
    <t>격벽 O</t>
    <phoneticPr fontId="2" type="noConversion"/>
  </si>
  <si>
    <t>경북 울릉군</t>
  </si>
  <si>
    <t>베이직</t>
    <phoneticPr fontId="2" type="noConversion"/>
  </si>
  <si>
    <t>저상 여닫이 도어추가 O</t>
    <phoneticPr fontId="2" type="noConversion"/>
  </si>
  <si>
    <t>격벽 X</t>
    <phoneticPr fontId="2" type="noConversion"/>
  </si>
  <si>
    <t>전남 보성군</t>
  </si>
  <si>
    <t>플러스</t>
    <phoneticPr fontId="2" type="noConversion"/>
  </si>
  <si>
    <t>저상 슬라이딩 도어추가 X</t>
    <phoneticPr fontId="2" type="noConversion"/>
  </si>
  <si>
    <t>온도 기록계 O</t>
    <phoneticPr fontId="2" type="noConversion"/>
  </si>
  <si>
    <t>전남 영암군</t>
  </si>
  <si>
    <t>저상 슬라이딩 도어추가 O</t>
    <phoneticPr fontId="2" type="noConversion"/>
  </si>
  <si>
    <t>온도 기록계 X</t>
    <phoneticPr fontId="2" type="noConversion"/>
  </si>
  <si>
    <t>경기 여주시</t>
  </si>
  <si>
    <t>표준 여닫이 도어추가 X</t>
    <phoneticPr fontId="2" type="noConversion"/>
  </si>
  <si>
    <t>경기 양평군</t>
  </si>
  <si>
    <t>표준 여닫이 도어추가 O</t>
    <phoneticPr fontId="2" type="noConversion"/>
  </si>
  <si>
    <t>전남 고흥군</t>
  </si>
  <si>
    <t>표준 슬라이딩 도어추가 X</t>
    <phoneticPr fontId="2" type="noConversion"/>
  </si>
  <si>
    <t>전남 장흥군</t>
  </si>
  <si>
    <t>표준 슬라이딩 도어추가 O</t>
    <phoneticPr fontId="2" type="noConversion"/>
  </si>
  <si>
    <t>전남 강진군</t>
  </si>
  <si>
    <t>전남 완도군</t>
  </si>
  <si>
    <t>충남 천안시</t>
  </si>
  <si>
    <t>충남 공주시</t>
  </si>
  <si>
    <t>충남 보령시</t>
  </si>
  <si>
    <t>충남 아산시</t>
  </si>
  <si>
    <t>충남 서산시</t>
  </si>
  <si>
    <t>충남 논산시</t>
  </si>
  <si>
    <t>충남 계룡시</t>
  </si>
  <si>
    <t>충남 당진시</t>
  </si>
  <si>
    <t>충남 금산군</t>
  </si>
  <si>
    <t>충남 부여군</t>
  </si>
  <si>
    <t>충남 서천군</t>
  </si>
  <si>
    <t>충남 청양군</t>
  </si>
  <si>
    <t>충남 홍성군</t>
  </si>
  <si>
    <t>충남 예산군</t>
  </si>
  <si>
    <t>충남 태안군</t>
  </si>
  <si>
    <t>전북 전주시</t>
  </si>
  <si>
    <t>전북 군산시</t>
  </si>
  <si>
    <t>전북 익산시</t>
  </si>
  <si>
    <t>전북 정읍시</t>
  </si>
  <si>
    <t>전북 남원시</t>
  </si>
  <si>
    <t>전북 김제시</t>
  </si>
  <si>
    <t>전북 완주군</t>
  </si>
  <si>
    <t>전북 진안군</t>
  </si>
  <si>
    <t>전북 무주군</t>
  </si>
  <si>
    <t>전북 장수군</t>
  </si>
  <si>
    <t>전북 임실군</t>
  </si>
  <si>
    <t>전북 순창군</t>
  </si>
  <si>
    <t>전북 고창군</t>
  </si>
  <si>
    <t>전북 부안군</t>
  </si>
  <si>
    <t>충북 청주시</t>
  </si>
  <si>
    <t>충북 충주시</t>
  </si>
  <si>
    <t>충북 제천시</t>
  </si>
  <si>
    <t>충북 보은군</t>
  </si>
  <si>
    <t>충북 옥천군</t>
  </si>
  <si>
    <t>충북 증평군</t>
  </si>
  <si>
    <t>충북 영동군</t>
  </si>
  <si>
    <t>충북 진천군</t>
  </si>
  <si>
    <t>충북 괴산군</t>
  </si>
  <si>
    <t>충북 음성군</t>
  </si>
  <si>
    <t>충북 단양군</t>
  </si>
  <si>
    <t>경남 합천군</t>
  </si>
  <si>
    <t>전남 구례군</t>
  </si>
  <si>
    <t>경기 연천군</t>
  </si>
  <si>
    <t>전남 해남군</t>
  </si>
  <si>
    <t>경기 과천시</t>
  </si>
  <si>
    <t>전남 곡성군</t>
  </si>
  <si>
    <t>전남 영광군</t>
  </si>
  <si>
    <t>전남 진도군</t>
  </si>
  <si>
    <t>전남 신안군</t>
  </si>
  <si>
    <t>경북 포항시</t>
  </si>
  <si>
    <t>경북 경주시</t>
  </si>
  <si>
    <t>경북 김천시</t>
  </si>
  <si>
    <t>경북 안동시</t>
  </si>
  <si>
    <t>경북 구미시</t>
  </si>
  <si>
    <t>경북 영주시</t>
  </si>
  <si>
    <t>경북 영천시</t>
  </si>
  <si>
    <t>경북 상주시</t>
  </si>
  <si>
    <t>경북 문경시</t>
  </si>
  <si>
    <t>경북 경산시</t>
  </si>
  <si>
    <t>경북 의성군</t>
  </si>
  <si>
    <t>경북 청송군</t>
  </si>
  <si>
    <t>경북 영양군</t>
  </si>
  <si>
    <t>경북 영덕군</t>
  </si>
  <si>
    <t>경북 청도군</t>
  </si>
  <si>
    <t>경북 고령군</t>
  </si>
  <si>
    <t>경북 성주군</t>
  </si>
  <si>
    <t>경북 칠곡군</t>
  </si>
  <si>
    <t>경북 예천군</t>
  </si>
  <si>
    <t>경북 봉화군</t>
  </si>
  <si>
    <t>경북 울진군</t>
  </si>
  <si>
    <t>경기 광명시</t>
  </si>
  <si>
    <t>경기 가평군</t>
  </si>
  <si>
    <t>경남 통영시</t>
  </si>
  <si>
    <t>경기 평택시</t>
  </si>
  <si>
    <t>전남 장성군</t>
  </si>
  <si>
    <t>경기 동두천시</t>
  </si>
  <si>
    <t>경기 구리시</t>
  </si>
  <si>
    <t>경기 파주시</t>
  </si>
  <si>
    <t>경기 이천시</t>
  </si>
  <si>
    <t>경기 안성시</t>
  </si>
  <si>
    <t>경기 양주시</t>
  </si>
  <si>
    <t>경기 포천시</t>
  </si>
  <si>
    <t>전남 나주시</t>
  </si>
  <si>
    <t>전남 담양군</t>
  </si>
  <si>
    <t>전남 화순군</t>
  </si>
  <si>
    <t>전남 함평군</t>
  </si>
  <si>
    <t>경남 창녕군</t>
  </si>
  <si>
    <t>제주 제주특별자치도</t>
  </si>
  <si>
    <t>경기 오산시</t>
  </si>
  <si>
    <t>경기 군포시</t>
  </si>
  <si>
    <t>경기 안산시</t>
  </si>
  <si>
    <t>경기 의왕시</t>
  </si>
  <si>
    <t>경기 화성시</t>
  </si>
  <si>
    <t>경기 안양시</t>
  </si>
  <si>
    <t>경기 수원시</t>
  </si>
  <si>
    <t>경기 성남시</t>
  </si>
  <si>
    <t>경기 시흥시</t>
  </si>
  <si>
    <t>경기 용인시</t>
  </si>
  <si>
    <t>경기 김포시</t>
  </si>
  <si>
    <t>경기 광주시</t>
  </si>
  <si>
    <t>강원 춘천시</t>
  </si>
  <si>
    <t>강원 원주시</t>
  </si>
  <si>
    <t>강원 강릉시</t>
  </si>
  <si>
    <t>강원 동해시</t>
  </si>
  <si>
    <t>강원 태백시</t>
  </si>
  <si>
    <t>강원 속초시</t>
  </si>
  <si>
    <t>강원 삼척시</t>
  </si>
  <si>
    <t>강원 홍천군</t>
  </si>
  <si>
    <t>강원 횡성군</t>
  </si>
  <si>
    <t>강원 영월군</t>
  </si>
  <si>
    <t>강원 평창군</t>
  </si>
  <si>
    <t>강원 정선군</t>
  </si>
  <si>
    <t>강원 철원군</t>
  </si>
  <si>
    <t>강원 화천군</t>
  </si>
  <si>
    <t>강원 양구군</t>
  </si>
  <si>
    <t>강원 인제군</t>
  </si>
  <si>
    <t>강원 고성군</t>
  </si>
  <si>
    <t>강원 양양군</t>
  </si>
  <si>
    <t>전남 목포시</t>
  </si>
  <si>
    <t>전남 여수시</t>
  </si>
  <si>
    <t>전남 순천시</t>
  </si>
  <si>
    <t>전남 무안군</t>
  </si>
  <si>
    <t>경남 밀양시</t>
  </si>
  <si>
    <t>경남 함양군</t>
  </si>
  <si>
    <t>경남 거창군</t>
  </si>
  <si>
    <t>경기 의정부시</t>
  </si>
  <si>
    <t>경남 사천시</t>
  </si>
  <si>
    <t>경남 거제시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</si>
  <si>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</si>
  <si>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</si>
  <si>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</si>
  <si>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</si>
  <si>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</si>
  <si>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</si>
  <si>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</si>
  <si>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</si>
  <si>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 부천시</t>
  </si>
  <si>
    <t>경기 고양시</t>
  </si>
  <si>
    <t>경기 하남시</t>
  </si>
  <si>
    <t>전남 광양시</t>
  </si>
  <si>
    <t>경남 창원시</t>
  </si>
  <si>
    <t>경남 진주시</t>
  </si>
  <si>
    <t>경남 김해시</t>
  </si>
  <si>
    <t>경남 양산시</t>
  </si>
  <si>
    <t>경남 의령군</t>
  </si>
  <si>
    <t>경남 함안군</t>
  </si>
  <si>
    <t>경남 고성군</t>
  </si>
  <si>
    <t>경남 남해군</t>
  </si>
  <si>
    <t>경남 하동군</t>
  </si>
  <si>
    <t>경남 산청군</t>
  </si>
  <si>
    <t>공단 한국환경공단</t>
  </si>
  <si>
    <t xml:space="preserve">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</si>
</sst>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&quot;₩&quot;* #,##0_);_(&quot;₩&quot;* \(#,##0\);_(&quot;₩&quot;* &quot;-&quot;_);_(@_)"/>
    <numFmt numFmtId="177" formatCode="&quot;₩&quot;#,##0"/>
    <numFmt numFmtId="178" formatCode="&quot;₩&quot;#,##0.0"/>
  </numFmts>
  <fonts count="12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0"/>
      <name val="맑은 고딕 (본문)"/>
      <family val="3"/>
      <charset val="129"/>
    </font>
    <font>
      <b/>
      <sz val="11"/>
      <color theme="0"/>
      <name val="맑은 고딕"/>
      <family val="3"/>
      <charset val="129"/>
    </font>
    <font>
      <sz val="10"/>
      <color theme="1"/>
      <name val="Arial"/>
      <family val="2"/>
    </font>
    <font>
      <b/>
      <sz val="11"/>
      <color rgb="FF00206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4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8" fontId="0" fillId="0" borderId="0" xfId="0" applyNumberFormat="1" applyAlignment="1">
      <alignment horizontal="right" vertical="center"/>
    </xf>
    <xf numFmtId="38" fontId="3" fillId="0" borderId="0" xfId="0" applyNumberFormat="1" applyFont="1" applyAlignment="1">
      <alignment horizontal="right" vertical="center"/>
    </xf>
    <xf numFmtId="38" fontId="0" fillId="4" borderId="2" xfId="0" applyNumberFormat="1" applyFill="1" applyBorder="1" applyAlignment="1">
      <alignment horizontal="center" vertical="center"/>
    </xf>
    <xf numFmtId="38" fontId="7" fillId="2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10" fillId="0" borderId="0" xfId="0" applyFont="1">
      <alignment vertical="center"/>
    </xf>
    <xf numFmtId="3" fontId="10" fillId="0" borderId="0" xfId="0" applyNumberFormat="1" applyFont="1">
      <alignment vertical="center"/>
    </xf>
    <xf numFmtId="0" fontId="1" fillId="2" borderId="2" xfId="0" applyFont="1" applyFill="1" applyBorder="1" applyAlignment="1">
      <alignment horizontal="center" vertical="center"/>
    </xf>
    <xf numFmtId="38" fontId="0" fillId="4" borderId="2" xfId="0" applyNumberFormat="1" applyFill="1" applyBorder="1" applyAlignment="1">
      <alignment horizontal="right" vertical="center"/>
    </xf>
    <xf numFmtId="9" fontId="0" fillId="0" borderId="2" xfId="0" applyNumberFormat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176" fontId="0" fillId="7" borderId="3" xfId="0" applyNumberFormat="1" applyFill="1" applyBorder="1">
      <alignment vertical="center"/>
    </xf>
    <xf numFmtId="0" fontId="9" fillId="6" borderId="2" xfId="0" applyFont="1" applyFill="1" applyBorder="1" applyAlignment="1">
      <alignment horizontal="center" vertical="center"/>
    </xf>
    <xf numFmtId="176" fontId="11" fillId="0" borderId="2" xfId="0" applyNumberFormat="1" applyFon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0" xfId="0" applyNumberFormat="1" applyBorder="1">
      <alignment vertical="center"/>
    </xf>
    <xf numFmtId="176" fontId="0" fillId="2" borderId="10" xfId="0" applyNumberFormat="1" applyFill="1" applyBorder="1">
      <alignment vertical="center"/>
    </xf>
    <xf numFmtId="0" fontId="0" fillId="0" borderId="8" xfId="0" quotePrefix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6" fillId="0" borderId="0" xfId="0" applyFont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0" fontId="0" fillId="0" borderId="13" xfId="0" applyBorder="1" applyAlignment="1">
      <alignment horizontal="center" vertical="center" wrapText="1"/>
    </xf>
    <xf numFmtId="1" fontId="0" fillId="0" borderId="0" xfId="0" applyNumberForma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</cellXfs>
  <cellStyles count="4">
    <cellStyle name="백분율 2" xfId="3" xr:uid="{6E98A529-FA06-443B-BB99-DE99A0F59A3F}"/>
    <cellStyle name="쉼표 [0] 2" xfId="2" xr:uid="{2EDA79F7-9192-4D11-A3F3-632474DFE223}"/>
    <cellStyle name="표준" xfId="0" builtinId="0"/>
    <cellStyle name="표준 2" xfId="1" xr:uid="{F8BA6D22-3D1E-4EB2-A4E9-9AC29CFE65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235858</xdr:colOff>
      <xdr:row>0</xdr:row>
      <xdr:rowOff>272142</xdr:rowOff>
    </xdr:from>
    <xdr:to>
      <xdr:col>1</xdr:col>
      <xdr:colOff>50800</xdr:colOff>
      <xdr:row>2</xdr:row>
      <xdr:rowOff>153931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439294A-9AC2-9544-B09D-EB62C3CCE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858" y="272142"/>
          <a:ext cx="1173842" cy="55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451A-0EEA-C94B-9DD3-88891DC00D10}">
  <sheetPr>
    <pageSetUpPr fitToPage="1"/>
  </sheetPr>
  <dimension ref="A1:L35"/>
  <sheetViews>
    <sheetView tabSelected="1" topLeftCell="A5" zoomScale="82" zoomScaleNormal="117" workbookViewId="0">
      <selection activeCell="C12" sqref="C12"/>
    </sheetView>
  </sheetViews>
  <sheetFormatPr defaultColWidth="8.875" defaultRowHeight="17.100000000000001"/>
  <cols>
    <col min="1" max="1" width="17.875" customWidth="1"/>
    <col min="2" max="2" width="13.375" customWidth="1"/>
    <col min="3" max="3" width="12.375" customWidth="1"/>
    <col min="4" max="4" width="14" style="18" customWidth="1"/>
    <col min="5" max="5" width="6.625" customWidth="1"/>
    <col min="6" max="6" width="18" style="4" customWidth="1"/>
    <col min="7" max="7" width="17.875" style="2" customWidth="1"/>
    <col min="8" max="8" width="16.625" style="1" customWidth="1"/>
    <col min="10" max="10" width="14.5" bestFit="1" customWidth="1"/>
    <col min="11" max="11" width="20.5" customWidth="1"/>
    <col min="12" max="12" width="11.125" bestFit="1" customWidth="1"/>
    <col min="13" max="13" width="12.875" customWidth="1"/>
    <col min="14" max="14" width="30.125" customWidth="1"/>
  </cols>
  <sheetData>
    <row r="1" spans="1:12" ht="30" customHeight="1"/>
    <row r="2" spans="1:12" ht="25.5">
      <c r="B2" s="2"/>
      <c r="D2" s="19" t="s">
        <v>0</v>
      </c>
      <c r="E2" s="5"/>
      <c r="F2" s="6"/>
    </row>
    <row r="3" spans="1:12" ht="30" customHeight="1"/>
    <row r="4" spans="1:12">
      <c r="A4" s="22" t="s">
        <v>1</v>
      </c>
      <c r="B4" s="61" t="s">
        <v>2</v>
      </c>
      <c r="C4" s="62"/>
      <c r="E4" s="2"/>
      <c r="F4" s="23" t="s">
        <v>3</v>
      </c>
      <c r="G4" s="59">
        <v>46184</v>
      </c>
      <c r="H4" s="59"/>
    </row>
    <row r="5" spans="1:12">
      <c r="A5" s="22" t="s">
        <v>4</v>
      </c>
      <c r="B5" s="61" t="s">
        <v>5</v>
      </c>
      <c r="C5" s="62"/>
      <c r="E5" s="2"/>
      <c r="F5" s="23" t="s">
        <v>6</v>
      </c>
      <c r="G5" s="60" t="s">
        <v>7</v>
      </c>
      <c r="H5" s="60"/>
    </row>
    <row r="6" spans="1:12">
      <c r="A6" s="22" t="s">
        <v>8</v>
      </c>
      <c r="B6" s="61" t="s">
        <v>9</v>
      </c>
      <c r="C6" s="62"/>
      <c r="E6" s="2"/>
    </row>
    <row r="7" spans="1:12">
      <c r="A7" s="46" t="s">
        <v>10</v>
      </c>
      <c r="B7" s="61" t="s">
        <v>11</v>
      </c>
      <c r="C7" s="62"/>
      <c r="E7" s="2"/>
    </row>
    <row r="9" spans="1:12">
      <c r="A9" s="63" t="s">
        <v>12</v>
      </c>
      <c r="B9" s="63"/>
      <c r="C9" s="63"/>
      <c r="D9" s="63"/>
      <c r="E9" s="15"/>
      <c r="F9" s="68" t="s">
        <v>12</v>
      </c>
      <c r="G9" s="68"/>
      <c r="H9" s="68"/>
      <c r="I9" s="24"/>
    </row>
    <row r="10" spans="1:12">
      <c r="A10" s="31"/>
      <c r="B10" s="70" t="s">
        <v>13</v>
      </c>
      <c r="C10" s="70"/>
      <c r="D10" s="20" t="s">
        <v>14</v>
      </c>
      <c r="E10" s="15"/>
      <c r="F10" s="14"/>
      <c r="G10" s="16" t="s">
        <v>13</v>
      </c>
      <c r="H10" s="32" t="s">
        <v>14</v>
      </c>
    </row>
    <row r="11" spans="1:12" ht="17.100000000000001" customHeight="1">
      <c r="A11" s="73" t="s">
        <v>15</v>
      </c>
      <c r="B11" s="17" t="s">
        <v>16</v>
      </c>
      <c r="C11" s="3" t="s">
        <v>17</v>
      </c>
      <c r="D11" s="21"/>
      <c r="E11" s="2"/>
      <c r="F11" s="58" t="s">
        <v>18</v>
      </c>
      <c r="G11" s="7" t="s">
        <v>19</v>
      </c>
      <c r="H11" s="33">
        <v>0.05</v>
      </c>
    </row>
    <row r="12" spans="1:12">
      <c r="A12" s="73"/>
      <c r="B12" s="17" t="s">
        <v>20</v>
      </c>
      <c r="C12" s="3" t="s">
        <v>21</v>
      </c>
      <c r="D12" s="36">
        <f>_xlfn.XLOOKUP(견적서!C12, 옵션DB!$N:$N, 옵션DB!$O:$O, 0)</f>
        <v>45136363.636363633</v>
      </c>
      <c r="E12" s="2"/>
      <c r="F12" s="58"/>
      <c r="G12" s="7" t="s">
        <v>22</v>
      </c>
      <c r="H12" s="25">
        <f>(D12+H23/11*10)*H11</f>
        <v>2264954.5454545454</v>
      </c>
    </row>
    <row r="13" spans="1:12" ht="15.6" customHeight="1">
      <c r="A13" s="58" t="s">
        <v>23</v>
      </c>
      <c r="B13" s="17" t="s">
        <v>24</v>
      </c>
      <c r="C13" s="8" t="s">
        <v>25</v>
      </c>
      <c r="D13" s="41">
        <f>IF(C13="저상",17300000,17600000)</f>
        <v>17300000</v>
      </c>
      <c r="F13" s="58"/>
      <c r="G13" s="7" t="s">
        <v>26</v>
      </c>
      <c r="H13" s="25">
        <f>IF(H12&gt;=1400000,-1400000,-H12)</f>
        <v>-1400000</v>
      </c>
    </row>
    <row r="14" spans="1:12" ht="18" customHeight="1">
      <c r="A14" s="58"/>
      <c r="B14" s="17" t="s">
        <v>27</v>
      </c>
      <c r="C14" s="45" t="s">
        <v>28</v>
      </c>
      <c r="D14" s="43">
        <f>_xlfn.XLOOKUP(C13&amp;" "&amp;C14&amp;" 도어추가 "&amp;C15, 옵션DB!$D:$D, 옵션DB!$E:$E, 0)</f>
        <v>280000</v>
      </c>
      <c r="E14" s="2"/>
      <c r="F14" s="58"/>
      <c r="G14" s="7" t="s">
        <v>29</v>
      </c>
      <c r="H14" s="33">
        <v>0.02</v>
      </c>
      <c r="K14" s="13"/>
      <c r="L14" s="12"/>
    </row>
    <row r="15" spans="1:12" ht="17.100000000000001" customHeight="1">
      <c r="A15" s="58"/>
      <c r="B15" s="17" t="s">
        <v>30</v>
      </c>
      <c r="C15" s="45" t="s">
        <v>31</v>
      </c>
      <c r="D15" s="44"/>
      <c r="E15" s="2"/>
      <c r="F15" s="58"/>
      <c r="G15" s="7" t="s">
        <v>32</v>
      </c>
      <c r="H15" s="25">
        <f>SUM(D13:D17)*H14</f>
        <v>364000</v>
      </c>
      <c r="K15" s="13"/>
      <c r="L15" s="12"/>
    </row>
    <row r="16" spans="1:12" ht="17.100000000000001" customHeight="1">
      <c r="A16" s="58"/>
      <c r="B16" s="7" t="s">
        <v>33</v>
      </c>
      <c r="C16" s="8" t="s">
        <v>9</v>
      </c>
      <c r="D16" s="42">
        <f>_xlfn.XLOOKUP("온도 기록계 "&amp;C16, 옵션DB!$G:$G, 옵션DB!$H:$H, 0)</f>
        <v>450000</v>
      </c>
      <c r="E16" s="12"/>
      <c r="F16" s="58"/>
      <c r="G16" s="7" t="s">
        <v>34</v>
      </c>
      <c r="H16" s="25">
        <v>2500</v>
      </c>
    </row>
    <row r="17" spans="1:12">
      <c r="A17" s="58"/>
      <c r="B17" s="7" t="s">
        <v>35</v>
      </c>
      <c r="C17" s="3" t="s">
        <v>9</v>
      </c>
      <c r="D17" s="25">
        <f>_xlfn.XLOOKUP("격벽 "&amp;C17, 옵션DB!$G:$G, 옵션DB!$H:$H, 0)</f>
        <v>170000</v>
      </c>
      <c r="E17" s="12"/>
      <c r="F17" s="58"/>
      <c r="G17" s="7" t="s">
        <v>36</v>
      </c>
      <c r="H17" s="25">
        <v>25000</v>
      </c>
    </row>
    <row r="18" spans="1:12" ht="18" customHeight="1">
      <c r="A18" s="71" t="s">
        <v>37</v>
      </c>
      <c r="B18" s="71"/>
      <c r="C18" s="71"/>
      <c r="D18" s="72"/>
      <c r="E18" s="12"/>
      <c r="F18" s="58"/>
      <c r="G18" s="7" t="s">
        <v>38</v>
      </c>
      <c r="H18" s="25">
        <v>50000</v>
      </c>
    </row>
    <row r="19" spans="1:12">
      <c r="A19" s="14"/>
      <c r="B19" s="70" t="s">
        <v>13</v>
      </c>
      <c r="C19" s="70"/>
      <c r="D19" s="20" t="s">
        <v>14</v>
      </c>
      <c r="E19" s="12"/>
      <c r="F19" s="58"/>
      <c r="G19" s="39" t="s">
        <v>39</v>
      </c>
      <c r="H19" s="25">
        <f>SUM(H12:H18)</f>
        <v>1306454.5654545454</v>
      </c>
    </row>
    <row r="20" spans="1:12">
      <c r="A20" s="58" t="s">
        <v>40</v>
      </c>
      <c r="B20" s="66" t="s">
        <v>41</v>
      </c>
      <c r="C20" s="66"/>
      <c r="D20" s="27">
        <f>SUM(D12:D17)</f>
        <v>63336363.636363633</v>
      </c>
      <c r="E20" s="12"/>
    </row>
    <row r="21" spans="1:12" ht="38.1" customHeight="1">
      <c r="A21" s="58"/>
      <c r="B21" s="69" t="s">
        <v>42</v>
      </c>
      <c r="C21" s="69"/>
      <c r="D21" s="27">
        <f>IF(B5="간이과세자",0,D20/10)</f>
        <v>6333636.3636363633</v>
      </c>
      <c r="E21" s="12"/>
    </row>
    <row r="22" spans="1:12" ht="17.100000000000001" customHeight="1">
      <c r="A22" s="58"/>
      <c r="B22" s="69" t="s">
        <v>43</v>
      </c>
      <c r="C22" s="69"/>
      <c r="D22" s="27">
        <f>D20+D21</f>
        <v>69670000</v>
      </c>
      <c r="E22" s="12"/>
    </row>
    <row r="23" spans="1:12" ht="30" customHeight="1">
      <c r="A23" s="74" t="s">
        <v>44</v>
      </c>
      <c r="B23" s="55" t="s">
        <v>45</v>
      </c>
      <c r="C23" s="3" t="s">
        <v>46</v>
      </c>
      <c r="D23" s="26">
        <v>11500000</v>
      </c>
      <c r="E23" s="2"/>
      <c r="F23" s="58" t="s">
        <v>47</v>
      </c>
      <c r="G23" s="7" t="s">
        <v>48</v>
      </c>
      <c r="H23" s="25">
        <v>179000</v>
      </c>
      <c r="L23" s="9"/>
    </row>
    <row r="24" spans="1:12" ht="30" customHeight="1">
      <c r="A24" s="75"/>
      <c r="B24" s="56"/>
      <c r="C24" s="3" t="s">
        <v>49</v>
      </c>
      <c r="D24" s="26">
        <f>IF(B5="법인사업자",0,_xlfn.XLOOKUP(G5, 옵션DB!$J:$J, 옵션DB!$K:$K, 0))</f>
        <v>3450000</v>
      </c>
      <c r="E24" s="12"/>
      <c r="F24" s="58"/>
      <c r="G24" s="7" t="s">
        <v>50</v>
      </c>
      <c r="H24" s="25">
        <v>50000</v>
      </c>
      <c r="J24" s="9"/>
    </row>
    <row r="25" spans="1:12" ht="30" customHeight="1">
      <c r="A25" s="75"/>
      <c r="B25" s="56"/>
      <c r="C25" s="50" t="s">
        <v>51</v>
      </c>
      <c r="D25" s="51">
        <f>IF(B6="O",D23*0.3,0)</f>
        <v>3450000</v>
      </c>
      <c r="E25" s="2"/>
      <c r="F25" s="58"/>
      <c r="G25" s="22" t="s">
        <v>52</v>
      </c>
      <c r="H25" s="25">
        <f>SUM(H23:H24)</f>
        <v>229000</v>
      </c>
      <c r="J25" s="10"/>
    </row>
    <row r="26" spans="1:12" ht="30" customHeight="1">
      <c r="A26" s="75"/>
      <c r="B26" s="57"/>
      <c r="C26" s="53" t="s">
        <v>53</v>
      </c>
      <c r="D26" s="49">
        <f>IF(AND(B5="법인사업자",B7="경유차 유지 후 전기차 전환"),-500000,0)</f>
        <v>0</v>
      </c>
      <c r="E26" s="2"/>
      <c r="F26" s="13"/>
      <c r="G26" s="48"/>
      <c r="H26" s="47"/>
      <c r="J26" s="10"/>
    </row>
    <row r="27" spans="1:12">
      <c r="A27" s="75"/>
      <c r="B27" s="66" t="s">
        <v>54</v>
      </c>
      <c r="C27" s="67"/>
      <c r="D27" s="52">
        <f>SUM(D23:D26)</f>
        <v>18400000</v>
      </c>
      <c r="E27" s="2"/>
      <c r="F27" s="11"/>
      <c r="G27" s="11"/>
    </row>
    <row r="28" spans="1:12" ht="18" customHeight="1">
      <c r="A28" s="58" t="s">
        <v>55</v>
      </c>
      <c r="B28" s="64" t="s">
        <v>56</v>
      </c>
      <c r="C28" s="65"/>
      <c r="D28" s="28">
        <f>D22-D27</f>
        <v>51270000</v>
      </c>
      <c r="E28" s="2"/>
      <c r="F28" s="34" t="s">
        <v>57</v>
      </c>
      <c r="G28" s="35" t="s">
        <v>58</v>
      </c>
      <c r="H28" s="40">
        <f>SUM(D28,H19,H25)</f>
        <v>52805454.565454543</v>
      </c>
    </row>
    <row r="29" spans="1:12" ht="36" customHeight="1">
      <c r="A29" s="58"/>
      <c r="B29" s="64" t="s">
        <v>59</v>
      </c>
      <c r="C29" s="65"/>
      <c r="D29" s="38">
        <f>D28-D21</f>
        <v>44936363.63636364</v>
      </c>
      <c r="F29" s="34" t="s">
        <v>60</v>
      </c>
      <c r="G29" s="34" t="s">
        <v>61</v>
      </c>
      <c r="H29" s="37">
        <f>SUM(D29,H19,H25)</f>
        <v>46471818.201818183</v>
      </c>
    </row>
    <row r="31" spans="1:12" ht="20.100000000000001" customHeight="1"/>
    <row r="32" spans="1:12">
      <c r="A32" s="11" t="s">
        <v>62</v>
      </c>
    </row>
    <row r="33" spans="1:5">
      <c r="A33" s="11" t="s">
        <v>63</v>
      </c>
      <c r="E33" s="11"/>
    </row>
    <row r="34" spans="1:5">
      <c r="B34" s="11"/>
      <c r="C34" s="11"/>
      <c r="E34" s="11"/>
    </row>
    <row r="35" spans="1:5">
      <c r="B35" s="11"/>
      <c r="C35" s="11"/>
      <c r="E35" s="11"/>
    </row>
  </sheetData>
  <mergeCells count="25">
    <mergeCell ref="A28:A29"/>
    <mergeCell ref="B28:C28"/>
    <mergeCell ref="B29:C29"/>
    <mergeCell ref="B27:C27"/>
    <mergeCell ref="F9:H9"/>
    <mergeCell ref="F23:F25"/>
    <mergeCell ref="B21:C21"/>
    <mergeCell ref="B22:C22"/>
    <mergeCell ref="B10:C10"/>
    <mergeCell ref="A18:D18"/>
    <mergeCell ref="A20:A22"/>
    <mergeCell ref="B19:C19"/>
    <mergeCell ref="B20:C20"/>
    <mergeCell ref="F11:F19"/>
    <mergeCell ref="A11:A12"/>
    <mergeCell ref="A23:A27"/>
    <mergeCell ref="B23:B26"/>
    <mergeCell ref="A13:A17"/>
    <mergeCell ref="G4:H4"/>
    <mergeCell ref="G5:H5"/>
    <mergeCell ref="B6:C6"/>
    <mergeCell ref="B4:C4"/>
    <mergeCell ref="B5:C5"/>
    <mergeCell ref="A9:D9"/>
    <mergeCell ref="B7:C7"/>
  </mergeCells>
  <phoneticPr fontId="2" type="noConversion"/>
  <dataValidations count="8">
    <dataValidation type="list" allowBlank="1" showInputMessage="1" showErrorMessage="1" sqref="C14" xr:uid="{ABDE1BE1-003E-9041-8CD1-8DF8FCA326F6}">
      <formula1>"여닫이, 슬라이딩"</formula1>
    </dataValidation>
    <dataValidation type="list" allowBlank="1" showInputMessage="1" showErrorMessage="1" sqref="C15" xr:uid="{2FBCBD10-21BB-D240-B988-F16E0F22727B}">
      <formula1>"O, X"</formula1>
    </dataValidation>
    <dataValidation type="list" allowBlank="1" showInputMessage="1" showErrorMessage="1" sqref="C13" xr:uid="{2F9AB0CB-004D-B94D-A9DF-95D8A0268C9F}">
      <formula1>"저상,표준"</formula1>
    </dataValidation>
    <dataValidation type="list" allowBlank="1" showInputMessage="1" showErrorMessage="1" sqref="C16:C17 B6:C6" xr:uid="{0CD03174-7CDB-734D-9222-F021D39DBDE0}">
      <formula1>"O,X"</formula1>
    </dataValidation>
    <dataValidation type="list" allowBlank="1" showInputMessage="1" showErrorMessage="1" sqref="E12:E15 C13:C14" xr:uid="{F8EB5C70-2B76-3A44-B957-27CD4026501A}">
      <formula1>"기본(V2L포함), 풀옵션"</formula1>
    </dataValidation>
    <dataValidation type="list" allowBlank="1" showInputMessage="1" showErrorMessage="1" sqref="C12" xr:uid="{C45D635E-F153-CE45-8139-84F029AFB381}">
      <formula1>"베이직, 플러스"</formula1>
    </dataValidation>
    <dataValidation type="list" allowBlank="1" showInputMessage="1" showErrorMessage="1" sqref="B5:C5" xr:uid="{DBDA7A81-5191-9B45-AF88-4C9560DBED99}">
      <formula1>"개인사업자,간이과세자,법인사업자,기타"</formula1>
    </dataValidation>
    <dataValidation type="list" allowBlank="1" showInputMessage="1" showErrorMessage="1" sqref="B7:C7" xr:uid="{636BD6A8-555B-4A35-A235-1D832C063A46}">
      <formula1>"경유차없음, 경유차 유지 후 전기차 전환, 경유차 폐차 후 전기차 전환"</formula1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9378B8-1BC3-DA4A-8467-38D54542C106}">
          <x14:formula1>
            <xm:f>옵션DB!$J$1:$J$161</xm:f>
          </x14:formula1>
          <xm:sqref>G5:H5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1D77-1C23-D84F-B5A3-55F29C5AB6D9}">
  <dimension ref="D1:Q161"/>
  <sheetViews>
    <sheetView workbookViewId="0">
      <selection activeCell="K1" sqref="K1:K1048576"/>
    </sheetView>
  </sheetViews>
  <sheetFormatPr defaultColWidth="11" defaultRowHeight="17.100000000000001"/>
  <cols>
    <col min="3" max="3" width="11.625" customWidth="1"/>
    <col min="4" max="4" width="25.125" customWidth="1"/>
    <col min="7" max="7" width="14.5" customWidth="1"/>
    <col min="10" max="10" width="16.625" customWidth="1"/>
    <col min="11" max="11" width="24.125" customWidth="1"/>
    <col min="12" max="12" width="22.125" customWidth="1"/>
    <col min="15" max="15" width="11.75" bestFit="1" customWidth="1"/>
  </cols>
  <sheetData>
    <row r="1" spans="4:15">
      <c r="D1" t="s">
        <v>64</v>
      </c>
      <c r="E1">
        <v>0</v>
      </c>
      <c r="G1" t="s">
        <v>65</v>
      </c>
      <c r="H1">
        <v>170000</v>
      </c>
      <c r="J1" s="29" t="s">
        <v>66</v>
      </c>
      <c r="K1" s="30">
        <v>12040000</v>
      </c>
      <c r="L1" s="29">
        <v>1150000</v>
      </c>
      <c r="N1" t="s">
        <v>67</v>
      </c>
      <c r="O1">
        <f>47850000/11*10</f>
        <v>43500000</v>
      </c>
    </row>
    <row r="2" spans="4:15">
      <c r="D2" t="s">
        <v>68</v>
      </c>
      <c r="E2">
        <v>480000</v>
      </c>
      <c r="G2" t="s">
        <v>69</v>
      </c>
      <c r="H2">
        <v>0</v>
      </c>
      <c r="J2" s="29" t="s">
        <v>70</v>
      </c>
      <c r="K2" s="30">
        <v>9770000</v>
      </c>
      <c r="L2" s="30">
        <v>660000</v>
      </c>
      <c r="N2" t="s">
        <v>71</v>
      </c>
      <c r="O2" s="54">
        <f>49650000/11*10</f>
        <v>45136363.636363633</v>
      </c>
    </row>
    <row r="3" spans="4:15">
      <c r="D3" t="s">
        <v>72</v>
      </c>
      <c r="E3">
        <v>280000</v>
      </c>
      <c r="G3" t="s">
        <v>73</v>
      </c>
      <c r="H3">
        <v>450000</v>
      </c>
      <c r="J3" s="29" t="s">
        <v>74</v>
      </c>
      <c r="K3" s="30">
        <v>9550000</v>
      </c>
      <c r="L3" s="30">
        <v>620000</v>
      </c>
    </row>
    <row r="4" spans="4:15">
      <c r="D4" t="s">
        <v>75</v>
      </c>
      <c r="E4">
        <v>1040000</v>
      </c>
      <c r="G4" t="s">
        <v>76</v>
      </c>
      <c r="H4">
        <v>0</v>
      </c>
      <c r="J4" s="29" t="s">
        <v>77</v>
      </c>
      <c r="K4" s="30">
        <v>8050000</v>
      </c>
      <c r="L4" s="30">
        <v>320000</v>
      </c>
    </row>
    <row r="5" spans="4:15">
      <c r="D5" t="s">
        <v>78</v>
      </c>
      <c r="E5">
        <v>0</v>
      </c>
      <c r="J5" s="29" t="s">
        <v>79</v>
      </c>
      <c r="K5" s="30">
        <v>8050000</v>
      </c>
      <c r="L5" s="30">
        <v>340000</v>
      </c>
    </row>
    <row r="6" spans="4:15">
      <c r="D6" t="s">
        <v>80</v>
      </c>
      <c r="E6">
        <v>520000</v>
      </c>
      <c r="J6" s="29" t="s">
        <v>81</v>
      </c>
      <c r="K6" s="30">
        <v>8050000</v>
      </c>
      <c r="L6" s="30">
        <v>690000</v>
      </c>
    </row>
    <row r="7" spans="4:15">
      <c r="D7" t="s">
        <v>82</v>
      </c>
      <c r="E7">
        <v>300000</v>
      </c>
      <c r="J7" s="29" t="s">
        <v>83</v>
      </c>
      <c r="K7" s="30">
        <v>8050000</v>
      </c>
      <c r="L7" s="30">
        <v>660000</v>
      </c>
    </row>
    <row r="8" spans="4:15">
      <c r="D8" t="s">
        <v>84</v>
      </c>
      <c r="E8">
        <v>1120000</v>
      </c>
      <c r="J8" s="29" t="s">
        <v>85</v>
      </c>
      <c r="K8" s="30">
        <v>8050000</v>
      </c>
      <c r="L8" s="30">
        <v>660000</v>
      </c>
    </row>
    <row r="9" spans="4:15">
      <c r="J9" s="29" t="s">
        <v>86</v>
      </c>
      <c r="K9" s="30">
        <v>8050000</v>
      </c>
      <c r="L9" s="30">
        <v>760000</v>
      </c>
    </row>
    <row r="10" spans="4:15">
      <c r="J10" s="29" t="s">
        <v>87</v>
      </c>
      <c r="K10" s="30">
        <v>8000000</v>
      </c>
      <c r="L10" s="30">
        <v>320000</v>
      </c>
    </row>
    <row r="11" spans="4:15">
      <c r="J11" s="29" t="s">
        <v>88</v>
      </c>
      <c r="K11" s="30">
        <v>8000000</v>
      </c>
      <c r="L11" s="30">
        <v>370000</v>
      </c>
    </row>
    <row r="12" spans="4:15">
      <c r="J12" s="29" t="s">
        <v>89</v>
      </c>
      <c r="K12" s="30">
        <v>8000000</v>
      </c>
      <c r="L12" s="30">
        <v>420000</v>
      </c>
    </row>
    <row r="13" spans="4:15">
      <c r="J13" s="29" t="s">
        <v>90</v>
      </c>
      <c r="K13" s="30">
        <v>8000000</v>
      </c>
      <c r="L13" s="30">
        <v>320000</v>
      </c>
    </row>
    <row r="14" spans="4:15">
      <c r="J14" s="29" t="s">
        <v>91</v>
      </c>
      <c r="K14" s="30">
        <v>8000000</v>
      </c>
      <c r="L14" s="30">
        <v>350000</v>
      </c>
    </row>
    <row r="15" spans="4:15">
      <c r="J15" s="29" t="s">
        <v>92</v>
      </c>
      <c r="K15" s="30">
        <v>8000000</v>
      </c>
      <c r="L15" s="30">
        <v>410000</v>
      </c>
    </row>
    <row r="16" spans="4:15">
      <c r="J16" s="29" t="s">
        <v>93</v>
      </c>
      <c r="K16" s="30">
        <v>8000000</v>
      </c>
      <c r="L16" s="30">
        <v>390000</v>
      </c>
    </row>
    <row r="17" spans="10:17">
      <c r="J17" s="29" t="s">
        <v>94</v>
      </c>
      <c r="K17" s="30">
        <v>8000000</v>
      </c>
      <c r="L17" s="30">
        <v>330000</v>
      </c>
    </row>
    <row r="18" spans="10:17">
      <c r="J18" s="29" t="s">
        <v>95</v>
      </c>
      <c r="K18" s="30">
        <v>8000000</v>
      </c>
      <c r="L18" s="30">
        <v>430000</v>
      </c>
    </row>
    <row r="19" spans="10:17">
      <c r="J19" s="29" t="s">
        <v>96</v>
      </c>
      <c r="K19" s="30">
        <v>8000000</v>
      </c>
      <c r="L19" s="30">
        <v>410000</v>
      </c>
    </row>
    <row r="20" spans="10:17">
      <c r="J20" s="29" t="s">
        <v>97</v>
      </c>
      <c r="K20" s="30">
        <v>8000000</v>
      </c>
      <c r="L20" s="30">
        <v>430000</v>
      </c>
    </row>
    <row r="21" spans="10:17">
      <c r="J21" s="29" t="s">
        <v>98</v>
      </c>
      <c r="K21" s="30">
        <v>8000000</v>
      </c>
      <c r="L21" s="30">
        <v>390000</v>
      </c>
    </row>
    <row r="22" spans="10:17">
      <c r="J22" s="29" t="s">
        <v>99</v>
      </c>
      <c r="K22" s="30">
        <v>8000000</v>
      </c>
      <c r="L22" s="30">
        <v>370000</v>
      </c>
    </row>
    <row r="23" spans="10:17">
      <c r="J23" s="29" t="s">
        <v>100</v>
      </c>
      <c r="K23" s="30">
        <v>8000000</v>
      </c>
      <c r="L23" s="30">
        <v>340000</v>
      </c>
    </row>
    <row r="24" spans="10:17">
      <c r="J24" s="29" t="s">
        <v>101</v>
      </c>
      <c r="K24" s="30">
        <v>8000000</v>
      </c>
      <c r="L24" s="30">
        <v>360000</v>
      </c>
    </row>
    <row r="25" spans="10:17">
      <c r="J25" s="29" t="s">
        <v>102</v>
      </c>
      <c r="K25" s="30">
        <v>7670000</v>
      </c>
      <c r="L25" s="30">
        <v>440000</v>
      </c>
      <c r="Q25" s="29"/>
    </row>
    <row r="26" spans="10:17">
      <c r="J26" s="29" t="s">
        <v>103</v>
      </c>
      <c r="K26" s="30">
        <v>7670000</v>
      </c>
      <c r="L26" s="30">
        <v>420000</v>
      </c>
      <c r="Q26" s="29"/>
    </row>
    <row r="27" spans="10:17">
      <c r="J27" s="29" t="s">
        <v>104</v>
      </c>
      <c r="K27" s="30">
        <v>7670000</v>
      </c>
      <c r="L27" s="30">
        <v>420000</v>
      </c>
      <c r="Q27" s="29"/>
    </row>
    <row r="28" spans="10:17">
      <c r="J28" s="29" t="s">
        <v>105</v>
      </c>
      <c r="K28" s="30">
        <v>7670000</v>
      </c>
      <c r="L28" s="30">
        <v>480000</v>
      </c>
      <c r="Q28" s="29"/>
    </row>
    <row r="29" spans="10:17">
      <c r="J29" s="29" t="s">
        <v>106</v>
      </c>
      <c r="K29" s="30">
        <v>7670000</v>
      </c>
      <c r="L29" s="30">
        <v>520000</v>
      </c>
      <c r="Q29" s="29"/>
    </row>
    <row r="30" spans="10:17">
      <c r="J30" s="29" t="s">
        <v>107</v>
      </c>
      <c r="K30" s="30">
        <v>7670000</v>
      </c>
      <c r="L30" s="30">
        <v>450000</v>
      </c>
      <c r="Q30" s="29"/>
    </row>
    <row r="31" spans="10:17">
      <c r="J31" s="29" t="s">
        <v>108</v>
      </c>
      <c r="K31" s="30">
        <v>7670000</v>
      </c>
      <c r="L31" s="30">
        <v>440000</v>
      </c>
      <c r="Q31" s="29"/>
    </row>
    <row r="32" spans="10:17">
      <c r="J32" s="29" t="s">
        <v>109</v>
      </c>
      <c r="K32" s="30">
        <v>7670000</v>
      </c>
      <c r="L32" s="30">
        <v>480000</v>
      </c>
      <c r="Q32" s="29"/>
    </row>
    <row r="33" spans="10:17">
      <c r="J33" s="29" t="s">
        <v>110</v>
      </c>
      <c r="K33" s="30">
        <v>7670000</v>
      </c>
      <c r="L33" s="30">
        <v>460000</v>
      </c>
      <c r="Q33" s="29"/>
    </row>
    <row r="34" spans="10:17">
      <c r="J34" s="29" t="s">
        <v>111</v>
      </c>
      <c r="K34" s="30">
        <v>7670000</v>
      </c>
      <c r="L34" s="30">
        <v>500000</v>
      </c>
    </row>
    <row r="35" spans="10:17">
      <c r="J35" s="29" t="s">
        <v>112</v>
      </c>
      <c r="K35" s="30">
        <v>7670000</v>
      </c>
      <c r="L35" s="30">
        <v>480000</v>
      </c>
    </row>
    <row r="36" spans="10:17">
      <c r="J36" s="29" t="s">
        <v>113</v>
      </c>
      <c r="K36" s="30">
        <v>7670000</v>
      </c>
      <c r="L36" s="30">
        <v>510000</v>
      </c>
    </row>
    <row r="37" spans="10:17">
      <c r="J37" s="29" t="s">
        <v>114</v>
      </c>
      <c r="K37" s="30">
        <v>7670000</v>
      </c>
      <c r="L37" s="30">
        <v>500000</v>
      </c>
    </row>
    <row r="38" spans="10:17">
      <c r="J38" s="29" t="s">
        <v>115</v>
      </c>
      <c r="K38" s="30">
        <v>7670000</v>
      </c>
      <c r="L38" s="30">
        <v>470000</v>
      </c>
    </row>
    <row r="39" spans="10:17">
      <c r="J39" s="29" t="s">
        <v>116</v>
      </c>
      <c r="K39" s="30">
        <v>7660000</v>
      </c>
      <c r="L39" s="30">
        <v>360000</v>
      </c>
    </row>
    <row r="40" spans="10:17">
      <c r="J40" s="29" t="s">
        <v>117</v>
      </c>
      <c r="K40" s="30">
        <v>7660000</v>
      </c>
      <c r="L40" s="30">
        <v>390000</v>
      </c>
    </row>
    <row r="41" spans="10:17">
      <c r="J41" s="29" t="s">
        <v>118</v>
      </c>
      <c r="K41" s="30">
        <v>7660000</v>
      </c>
      <c r="L41" s="30">
        <v>430000</v>
      </c>
    </row>
    <row r="42" spans="10:17">
      <c r="J42" s="29" t="s">
        <v>119</v>
      </c>
      <c r="K42" s="30">
        <v>7660000</v>
      </c>
      <c r="L42" s="30">
        <v>410000</v>
      </c>
    </row>
    <row r="43" spans="10:17">
      <c r="J43" s="29" t="s">
        <v>120</v>
      </c>
      <c r="K43" s="30">
        <v>7660000</v>
      </c>
      <c r="L43" s="30">
        <v>420000</v>
      </c>
    </row>
    <row r="44" spans="10:17">
      <c r="J44" s="29" t="s">
        <v>121</v>
      </c>
      <c r="K44" s="30">
        <v>7660000</v>
      </c>
      <c r="L44" s="30">
        <v>380000</v>
      </c>
    </row>
    <row r="45" spans="10:17">
      <c r="J45" s="29" t="s">
        <v>122</v>
      </c>
      <c r="K45" s="30">
        <v>7660000</v>
      </c>
      <c r="L45" s="30">
        <v>450000</v>
      </c>
    </row>
    <row r="46" spans="10:17">
      <c r="J46" s="29" t="s">
        <v>123</v>
      </c>
      <c r="K46" s="30">
        <v>7660000</v>
      </c>
      <c r="L46" s="30">
        <v>360000</v>
      </c>
    </row>
    <row r="47" spans="10:17">
      <c r="J47" s="29" t="s">
        <v>124</v>
      </c>
      <c r="K47" s="30">
        <v>7660000</v>
      </c>
      <c r="L47" s="30">
        <v>390000</v>
      </c>
    </row>
    <row r="48" spans="10:17">
      <c r="J48" s="29" t="s">
        <v>125</v>
      </c>
      <c r="K48" s="30">
        <v>7660000</v>
      </c>
      <c r="L48" s="30">
        <v>380000</v>
      </c>
    </row>
    <row r="49" spans="10:12">
      <c r="J49" s="29" t="s">
        <v>126</v>
      </c>
      <c r="K49" s="30">
        <v>7660000</v>
      </c>
      <c r="L49" s="30">
        <v>460000</v>
      </c>
    </row>
    <row r="50" spans="10:12">
      <c r="J50" s="29" t="s">
        <v>127</v>
      </c>
      <c r="K50" s="30">
        <v>7650000</v>
      </c>
      <c r="L50" s="30">
        <v>550000</v>
      </c>
    </row>
    <row r="51" spans="10:12">
      <c r="J51" s="29" t="s">
        <v>128</v>
      </c>
      <c r="K51" s="30">
        <v>7500000</v>
      </c>
      <c r="L51" s="30">
        <v>590000</v>
      </c>
    </row>
    <row r="52" spans="10:12">
      <c r="J52" s="29" t="s">
        <v>129</v>
      </c>
      <c r="K52" s="30">
        <v>7470000</v>
      </c>
      <c r="L52" s="30">
        <v>410000</v>
      </c>
    </row>
    <row r="53" spans="10:12">
      <c r="J53" s="29" t="s">
        <v>130</v>
      </c>
      <c r="K53" s="30">
        <v>7250000</v>
      </c>
      <c r="L53" s="30">
        <v>710000</v>
      </c>
    </row>
    <row r="54" spans="10:12">
      <c r="J54" s="29" t="s">
        <v>131</v>
      </c>
      <c r="K54" s="30">
        <v>6900000</v>
      </c>
      <c r="L54" s="30">
        <v>310000</v>
      </c>
    </row>
    <row r="55" spans="10:12">
      <c r="J55" s="29" t="s">
        <v>132</v>
      </c>
      <c r="K55" s="30">
        <v>6900000</v>
      </c>
      <c r="L55" s="30">
        <v>560000</v>
      </c>
    </row>
    <row r="56" spans="10:12">
      <c r="J56" s="29" t="s">
        <v>133</v>
      </c>
      <c r="K56" s="30">
        <v>6900000</v>
      </c>
      <c r="L56" s="30">
        <v>550000</v>
      </c>
    </row>
    <row r="57" spans="10:12">
      <c r="J57" s="29" t="s">
        <v>134</v>
      </c>
      <c r="K57" s="30">
        <v>6900000</v>
      </c>
      <c r="L57" s="30">
        <v>760000</v>
      </c>
    </row>
    <row r="58" spans="10:12">
      <c r="J58" s="29" t="s">
        <v>135</v>
      </c>
      <c r="K58" s="30">
        <v>6900000</v>
      </c>
      <c r="L58" s="30">
        <v>680000</v>
      </c>
    </row>
    <row r="59" spans="10:12">
      <c r="J59" s="29" t="s">
        <v>136</v>
      </c>
      <c r="K59" s="30">
        <v>6560000</v>
      </c>
      <c r="L59" s="30">
        <v>630000</v>
      </c>
    </row>
    <row r="60" spans="10:12">
      <c r="J60" s="29" t="s">
        <v>137</v>
      </c>
      <c r="K60" s="30">
        <v>6560000</v>
      </c>
      <c r="L60" s="30">
        <v>640000</v>
      </c>
    </row>
    <row r="61" spans="10:12">
      <c r="J61" s="29" t="s">
        <v>138</v>
      </c>
      <c r="K61" s="30">
        <v>6560000</v>
      </c>
      <c r="L61" s="30">
        <v>440000</v>
      </c>
    </row>
    <row r="62" spans="10:12">
      <c r="J62" s="29" t="s">
        <v>139</v>
      </c>
      <c r="K62" s="30">
        <v>6560000</v>
      </c>
      <c r="L62" s="30">
        <v>490000</v>
      </c>
    </row>
    <row r="63" spans="10:12">
      <c r="J63" s="29" t="s">
        <v>140</v>
      </c>
      <c r="K63" s="30">
        <v>6560000</v>
      </c>
      <c r="L63" s="30">
        <v>460000</v>
      </c>
    </row>
    <row r="64" spans="10:12">
      <c r="J64" s="29" t="s">
        <v>141</v>
      </c>
      <c r="K64" s="30">
        <v>6560000</v>
      </c>
      <c r="L64" s="30">
        <v>480000</v>
      </c>
    </row>
    <row r="65" spans="10:12">
      <c r="J65" s="29" t="s">
        <v>142</v>
      </c>
      <c r="K65" s="30">
        <v>6560000</v>
      </c>
      <c r="L65" s="30">
        <v>560000</v>
      </c>
    </row>
    <row r="66" spans="10:12">
      <c r="J66" s="29" t="s">
        <v>143</v>
      </c>
      <c r="K66" s="30">
        <v>6560000</v>
      </c>
      <c r="L66" s="30">
        <v>420000</v>
      </c>
    </row>
    <row r="67" spans="10:12">
      <c r="J67" s="29" t="s">
        <v>144</v>
      </c>
      <c r="K67" s="30">
        <v>6560000</v>
      </c>
      <c r="L67" s="30">
        <v>390000</v>
      </c>
    </row>
    <row r="68" spans="10:12">
      <c r="J68" s="29" t="s">
        <v>145</v>
      </c>
      <c r="K68" s="30">
        <v>6560000</v>
      </c>
      <c r="L68" s="30">
        <v>560000</v>
      </c>
    </row>
    <row r="69" spans="10:12">
      <c r="J69" s="29" t="s">
        <v>146</v>
      </c>
      <c r="K69" s="30">
        <v>6560000</v>
      </c>
      <c r="L69" s="30">
        <v>510000</v>
      </c>
    </row>
    <row r="70" spans="10:12">
      <c r="J70" s="29" t="s">
        <v>147</v>
      </c>
      <c r="K70" s="30">
        <v>6560000</v>
      </c>
      <c r="L70" s="30">
        <v>590000</v>
      </c>
    </row>
    <row r="71" spans="10:12">
      <c r="J71" s="29" t="s">
        <v>148</v>
      </c>
      <c r="K71" s="30">
        <v>6560000</v>
      </c>
      <c r="L71" s="30">
        <v>640000</v>
      </c>
    </row>
    <row r="72" spans="10:12">
      <c r="J72" s="29" t="s">
        <v>149</v>
      </c>
      <c r="K72" s="30">
        <v>6560000</v>
      </c>
      <c r="L72" s="30">
        <v>680000</v>
      </c>
    </row>
    <row r="73" spans="10:12">
      <c r="J73" s="29" t="s">
        <v>150</v>
      </c>
      <c r="K73" s="30">
        <v>6560000</v>
      </c>
      <c r="L73" s="30">
        <v>580000</v>
      </c>
    </row>
    <row r="74" spans="10:12">
      <c r="J74" s="29" t="s">
        <v>151</v>
      </c>
      <c r="K74" s="30">
        <v>6560000</v>
      </c>
      <c r="L74" s="30">
        <v>530000</v>
      </c>
    </row>
    <row r="75" spans="10:12">
      <c r="J75" s="29" t="s">
        <v>152</v>
      </c>
      <c r="K75" s="30">
        <v>6560000</v>
      </c>
      <c r="L75" s="30">
        <v>510000</v>
      </c>
    </row>
    <row r="76" spans="10:12">
      <c r="J76" s="29" t="s">
        <v>153</v>
      </c>
      <c r="K76" s="30">
        <v>6560000</v>
      </c>
      <c r="L76" s="30">
        <v>510000</v>
      </c>
    </row>
    <row r="77" spans="10:12">
      <c r="J77" s="29" t="s">
        <v>154</v>
      </c>
      <c r="K77" s="30">
        <v>6560000</v>
      </c>
      <c r="L77" s="30">
        <v>450000</v>
      </c>
    </row>
    <row r="78" spans="10:12">
      <c r="J78" s="29" t="s">
        <v>155</v>
      </c>
      <c r="K78" s="30">
        <v>6560000</v>
      </c>
      <c r="L78" s="30">
        <v>540000</v>
      </c>
    </row>
    <row r="79" spans="10:12">
      <c r="J79" s="29" t="s">
        <v>156</v>
      </c>
      <c r="K79" s="30">
        <v>6560000</v>
      </c>
      <c r="L79" s="30">
        <v>732000</v>
      </c>
    </row>
    <row r="80" spans="10:12">
      <c r="J80" s="29" t="s">
        <v>157</v>
      </c>
      <c r="K80" s="30">
        <v>6550000</v>
      </c>
      <c r="L80" s="30">
        <v>310000</v>
      </c>
    </row>
    <row r="81" spans="10:12">
      <c r="J81" s="29" t="s">
        <v>158</v>
      </c>
      <c r="K81" s="30">
        <v>6440000</v>
      </c>
      <c r="L81" s="30">
        <v>380000</v>
      </c>
    </row>
    <row r="82" spans="10:12">
      <c r="J82" s="29" t="s">
        <v>159</v>
      </c>
      <c r="K82" s="30">
        <v>6330000</v>
      </c>
      <c r="L82" s="30">
        <v>690000</v>
      </c>
    </row>
    <row r="83" spans="10:12">
      <c r="J83" s="29" t="s">
        <v>160</v>
      </c>
      <c r="K83" s="30">
        <v>6320000</v>
      </c>
      <c r="L83" s="30">
        <v>280000</v>
      </c>
    </row>
    <row r="84" spans="10:12">
      <c r="J84" s="29" t="s">
        <v>161</v>
      </c>
      <c r="K84" s="30">
        <v>6320000</v>
      </c>
      <c r="L84" s="30">
        <v>540000</v>
      </c>
    </row>
    <row r="85" spans="10:12">
      <c r="J85" s="29" t="s">
        <v>162</v>
      </c>
      <c r="K85" s="30">
        <v>5750000</v>
      </c>
      <c r="L85" s="30">
        <v>380000</v>
      </c>
    </row>
    <row r="86" spans="10:12">
      <c r="J86" s="29" t="s">
        <v>163</v>
      </c>
      <c r="K86" s="30">
        <v>5750000</v>
      </c>
      <c r="L86" s="30">
        <v>340000</v>
      </c>
    </row>
    <row r="87" spans="10:12">
      <c r="J87" s="29" t="s">
        <v>164</v>
      </c>
      <c r="K87" s="30">
        <v>5750000</v>
      </c>
      <c r="L87" s="30">
        <v>380000</v>
      </c>
    </row>
    <row r="88" spans="10:12">
      <c r="J88" s="29" t="s">
        <v>165</v>
      </c>
      <c r="K88" s="30">
        <v>5750000</v>
      </c>
      <c r="L88" s="30">
        <v>310000</v>
      </c>
    </row>
    <row r="89" spans="10:12">
      <c r="J89" s="29" t="s">
        <v>166</v>
      </c>
      <c r="K89" s="30">
        <v>5750000</v>
      </c>
      <c r="L89" s="30">
        <v>290000</v>
      </c>
    </row>
    <row r="90" spans="10:12">
      <c r="J90" s="29" t="s">
        <v>167</v>
      </c>
      <c r="K90" s="30">
        <v>5750000</v>
      </c>
      <c r="L90" s="30">
        <v>360000</v>
      </c>
    </row>
    <row r="91" spans="10:12">
      <c r="J91" s="29" t="s">
        <v>168</v>
      </c>
      <c r="K91" s="30">
        <v>5750000</v>
      </c>
      <c r="L91" s="30">
        <v>380000</v>
      </c>
    </row>
    <row r="92" spans="10:12">
      <c r="J92" s="29" t="s">
        <v>169</v>
      </c>
      <c r="K92" s="30">
        <v>5750000</v>
      </c>
      <c r="L92" s="30">
        <v>590000</v>
      </c>
    </row>
    <row r="93" spans="10:12">
      <c r="J93" s="29" t="s">
        <v>170</v>
      </c>
      <c r="K93" s="30">
        <v>5750000</v>
      </c>
      <c r="L93" s="30">
        <v>540000</v>
      </c>
    </row>
    <row r="94" spans="10:12">
      <c r="J94" s="29" t="s">
        <v>171</v>
      </c>
      <c r="K94" s="30">
        <v>5750000</v>
      </c>
      <c r="L94" s="30">
        <v>590000</v>
      </c>
    </row>
    <row r="95" spans="10:12">
      <c r="J95" s="29" t="s">
        <v>172</v>
      </c>
      <c r="K95" s="30">
        <v>5750000</v>
      </c>
      <c r="L95" s="30">
        <v>580000</v>
      </c>
    </row>
    <row r="96" spans="10:12">
      <c r="J96" s="29" t="s">
        <v>173</v>
      </c>
      <c r="K96" s="30">
        <v>5750000</v>
      </c>
      <c r="L96" s="30">
        <v>560000</v>
      </c>
    </row>
    <row r="97" spans="10:12">
      <c r="J97" s="29" t="s">
        <v>174</v>
      </c>
      <c r="K97" s="30">
        <v>5470000</v>
      </c>
      <c r="L97" s="30">
        <v>950000</v>
      </c>
    </row>
    <row r="98" spans="10:12">
      <c r="J98" s="29" t="s">
        <v>175</v>
      </c>
      <c r="K98" s="30">
        <v>5290000</v>
      </c>
      <c r="L98" s="30">
        <v>280000</v>
      </c>
    </row>
    <row r="99" spans="10:12">
      <c r="J99" s="29" t="s">
        <v>176</v>
      </c>
      <c r="K99" s="30">
        <v>5290000</v>
      </c>
      <c r="L99" s="30">
        <v>280000</v>
      </c>
    </row>
    <row r="100" spans="10:12">
      <c r="J100" s="29" t="s">
        <v>177</v>
      </c>
      <c r="K100" s="30">
        <v>5170000</v>
      </c>
      <c r="L100" s="30">
        <v>280000</v>
      </c>
    </row>
    <row r="101" spans="10:12">
      <c r="J101" s="29" t="s">
        <v>178</v>
      </c>
      <c r="K101" s="30">
        <v>5170000</v>
      </c>
      <c r="L101" s="30">
        <v>280000</v>
      </c>
    </row>
    <row r="102" spans="10:12">
      <c r="J102" s="29" t="s">
        <v>179</v>
      </c>
      <c r="K102" s="30">
        <v>5170000</v>
      </c>
      <c r="L102" s="30">
        <v>240000</v>
      </c>
    </row>
    <row r="103" spans="10:12">
      <c r="J103" s="29" t="s">
        <v>180</v>
      </c>
      <c r="K103" s="30">
        <v>4880000</v>
      </c>
      <c r="L103" s="30">
        <v>290000</v>
      </c>
    </row>
    <row r="104" spans="10:12">
      <c r="J104" s="29" t="s">
        <v>181</v>
      </c>
      <c r="K104" s="30">
        <v>4600000</v>
      </c>
      <c r="L104" s="30">
        <v>280000</v>
      </c>
    </row>
    <row r="105" spans="10:12">
      <c r="J105" s="29" t="s">
        <v>182</v>
      </c>
      <c r="K105" s="30">
        <v>4600000</v>
      </c>
      <c r="L105" s="30">
        <v>310000</v>
      </c>
    </row>
    <row r="106" spans="10:12">
      <c r="J106" s="29" t="s">
        <v>183</v>
      </c>
      <c r="K106" s="30">
        <v>4600000</v>
      </c>
      <c r="L106" s="30">
        <v>290000</v>
      </c>
    </row>
    <row r="107" spans="10:12">
      <c r="J107" s="29" t="s">
        <v>184</v>
      </c>
      <c r="K107" s="30">
        <v>4600000</v>
      </c>
      <c r="L107" s="30">
        <v>265000</v>
      </c>
    </row>
    <row r="108" spans="10:12">
      <c r="J108" s="29" t="s">
        <v>185</v>
      </c>
      <c r="K108" s="30">
        <v>4600000</v>
      </c>
      <c r="L108" s="30">
        <v>340000</v>
      </c>
    </row>
    <row r="109" spans="10:12">
      <c r="J109" s="29" t="s">
        <v>186</v>
      </c>
      <c r="K109" s="30">
        <v>4600000</v>
      </c>
      <c r="L109" s="30">
        <v>310000</v>
      </c>
    </row>
    <row r="110" spans="10:12">
      <c r="J110" s="29" t="s">
        <v>187</v>
      </c>
      <c r="K110" s="30">
        <v>4600000</v>
      </c>
      <c r="L110" s="30">
        <v>440000</v>
      </c>
    </row>
    <row r="111" spans="10:12">
      <c r="J111" s="29" t="s">
        <v>188</v>
      </c>
      <c r="K111" s="30">
        <v>4600000</v>
      </c>
      <c r="L111" s="30">
        <v>410000</v>
      </c>
    </row>
    <row r="112" spans="10:12">
      <c r="J112" s="29" t="s">
        <v>189</v>
      </c>
      <c r="K112" s="30">
        <v>4600000</v>
      </c>
      <c r="L112" s="30">
        <v>580000</v>
      </c>
    </row>
    <row r="113" spans="10:12">
      <c r="J113" s="29" t="s">
        <v>190</v>
      </c>
      <c r="K113" s="30">
        <v>4600000</v>
      </c>
      <c r="L113" s="30">
        <v>620000</v>
      </c>
    </row>
    <row r="114" spans="10:12">
      <c r="J114" s="29" t="s">
        <v>191</v>
      </c>
      <c r="K114" s="30">
        <v>4600000</v>
      </c>
      <c r="L114" s="30">
        <v>640000</v>
      </c>
    </row>
    <row r="115" spans="10:12">
      <c r="J115" s="29" t="s">
        <v>192</v>
      </c>
      <c r="K115" s="30">
        <v>4600000</v>
      </c>
      <c r="L115" s="30">
        <v>600000</v>
      </c>
    </row>
    <row r="116" spans="10:12">
      <c r="J116" s="29" t="s">
        <v>193</v>
      </c>
      <c r="K116" s="30">
        <v>4600000</v>
      </c>
      <c r="L116" s="30">
        <v>640000</v>
      </c>
    </row>
    <row r="117" spans="10:12">
      <c r="J117" s="29" t="s">
        <v>194</v>
      </c>
      <c r="K117" s="30">
        <v>4600000</v>
      </c>
      <c r="L117" s="30">
        <v>460000</v>
      </c>
    </row>
    <row r="118" spans="10:12">
      <c r="J118" s="29" t="s">
        <v>195</v>
      </c>
      <c r="K118" s="30">
        <v>4600000</v>
      </c>
      <c r="L118" s="30">
        <v>440000</v>
      </c>
    </row>
    <row r="119" spans="10:12">
      <c r="J119" s="29" t="s">
        <v>196</v>
      </c>
      <c r="K119" s="30">
        <v>4600000</v>
      </c>
      <c r="L119" s="30">
        <v>520000</v>
      </c>
    </row>
    <row r="120" spans="10:12">
      <c r="J120" s="29" t="s">
        <v>197</v>
      </c>
      <c r="K120" s="30">
        <v>4600000</v>
      </c>
      <c r="L120" s="30">
        <v>540000</v>
      </c>
    </row>
    <row r="121" spans="10:12">
      <c r="J121" s="29" t="s">
        <v>198</v>
      </c>
      <c r="K121" s="30">
        <v>4600000</v>
      </c>
      <c r="L121" s="30">
        <v>580000</v>
      </c>
    </row>
    <row r="122" spans="10:12">
      <c r="J122" s="29" t="s">
        <v>199</v>
      </c>
      <c r="K122" s="30">
        <v>4600000</v>
      </c>
      <c r="L122" s="30">
        <v>480000</v>
      </c>
    </row>
    <row r="123" spans="10:12">
      <c r="J123" s="29" t="s">
        <v>200</v>
      </c>
      <c r="K123" s="30">
        <v>4600000</v>
      </c>
      <c r="L123" s="30">
        <v>490000</v>
      </c>
    </row>
    <row r="124" spans="10:12">
      <c r="J124" s="29" t="s">
        <v>201</v>
      </c>
      <c r="K124" s="30">
        <v>4600000</v>
      </c>
      <c r="L124" s="30">
        <v>510000</v>
      </c>
    </row>
    <row r="125" spans="10:12">
      <c r="J125" s="29" t="s">
        <v>202</v>
      </c>
      <c r="K125" s="30">
        <v>4600000</v>
      </c>
      <c r="L125" s="30">
        <v>530000</v>
      </c>
    </row>
    <row r="126" spans="10:12">
      <c r="J126" s="29" t="s">
        <v>203</v>
      </c>
      <c r="K126" s="30">
        <v>4600000</v>
      </c>
      <c r="L126" s="30">
        <v>630000</v>
      </c>
    </row>
    <row r="127" spans="10:12">
      <c r="J127" s="29" t="s">
        <v>204</v>
      </c>
      <c r="K127" s="30">
        <v>4600000</v>
      </c>
      <c r="L127" s="30">
        <v>590000</v>
      </c>
    </row>
    <row r="128" spans="10:12">
      <c r="J128" s="29" t="s">
        <v>205</v>
      </c>
      <c r="K128" s="30">
        <v>4600000</v>
      </c>
      <c r="L128" s="30">
        <v>610000</v>
      </c>
    </row>
    <row r="129" spans="10:12">
      <c r="J129" s="29" t="s">
        <v>206</v>
      </c>
      <c r="K129" s="30">
        <v>4600000</v>
      </c>
      <c r="L129" s="30">
        <v>670000</v>
      </c>
    </row>
    <row r="130" spans="10:12">
      <c r="J130" s="29" t="s">
        <v>207</v>
      </c>
      <c r="K130" s="30">
        <v>4600000</v>
      </c>
      <c r="L130" s="30">
        <v>630000</v>
      </c>
    </row>
    <row r="131" spans="10:12">
      <c r="J131" s="29" t="s">
        <v>208</v>
      </c>
      <c r="K131" s="30">
        <v>4600000</v>
      </c>
      <c r="L131" s="30">
        <v>610000</v>
      </c>
    </row>
    <row r="132" spans="10:12">
      <c r="J132" s="29" t="s">
        <v>209</v>
      </c>
      <c r="K132" s="30">
        <v>4600000</v>
      </c>
      <c r="L132" s="30">
        <v>590000</v>
      </c>
    </row>
    <row r="133" spans="10:12">
      <c r="J133" s="29" t="s">
        <v>210</v>
      </c>
      <c r="K133" s="30">
        <v>4370000</v>
      </c>
      <c r="L133" s="30">
        <v>540000</v>
      </c>
    </row>
    <row r="134" spans="10:12">
      <c r="J134" s="29" t="s">
        <v>211</v>
      </c>
      <c r="K134" s="30">
        <v>4150000</v>
      </c>
      <c r="L134" s="30">
        <v>520000</v>
      </c>
    </row>
    <row r="135" spans="10:12">
      <c r="J135" s="29" t="s">
        <v>212</v>
      </c>
      <c r="K135" s="30">
        <v>4140000</v>
      </c>
      <c r="L135" s="30">
        <v>350000</v>
      </c>
    </row>
    <row r="136" spans="10:12">
      <c r="J136" s="29" t="s">
        <v>213</v>
      </c>
      <c r="K136" s="30">
        <v>4030000</v>
      </c>
      <c r="L136" s="30">
        <v>640000</v>
      </c>
    </row>
    <row r="137" spans="10:12">
      <c r="J137" s="29" t="s">
        <v>214</v>
      </c>
      <c r="K137" s="30">
        <v>4030000</v>
      </c>
      <c r="L137" s="30">
        <v>720000</v>
      </c>
    </row>
    <row r="138" spans="10:12">
      <c r="J138" s="29" t="s">
        <v>215</v>
      </c>
      <c r="K138" s="30">
        <v>3950000</v>
      </c>
      <c r="L138" s="30">
        <v>325000</v>
      </c>
    </row>
    <row r="139" spans="10:12">
      <c r="J139" s="29" t="s">
        <v>216</v>
      </c>
      <c r="K139" s="30">
        <v>3450000</v>
      </c>
      <c r="L139" s="30">
        <v>680000</v>
      </c>
    </row>
    <row r="140" spans="10:12">
      <c r="J140" s="29" t="s">
        <v>217</v>
      </c>
      <c r="K140" s="30">
        <v>3450000</v>
      </c>
      <c r="L140" s="30">
        <v>540000</v>
      </c>
    </row>
    <row r="141" spans="10:12">
      <c r="J141" s="29" t="s">
        <v>218</v>
      </c>
      <c r="K141" s="30">
        <v>3450000</v>
      </c>
      <c r="L141" s="30">
        <v>325000</v>
      </c>
    </row>
    <row r="142" spans="10:12">
      <c r="J142" s="29" t="s">
        <v>219</v>
      </c>
      <c r="K142" s="30">
        <v>3450000</v>
      </c>
      <c r="L142" s="30">
        <v>560000</v>
      </c>
    </row>
    <row r="143" spans="10:12">
      <c r="J143" s="29" t="s">
        <v>220</v>
      </c>
      <c r="K143" s="30">
        <v>3450000</v>
      </c>
      <c r="L143" s="30">
        <v>420000</v>
      </c>
    </row>
    <row r="144" spans="10:12">
      <c r="J144" s="29" t="s">
        <v>221</v>
      </c>
      <c r="K144" s="30">
        <v>3450000</v>
      </c>
      <c r="L144" s="30">
        <v>660000</v>
      </c>
    </row>
    <row r="145" spans="10:12">
      <c r="J145" s="29" t="s">
        <v>222</v>
      </c>
      <c r="K145" s="30">
        <v>3450000</v>
      </c>
      <c r="L145" s="30">
        <v>390000</v>
      </c>
    </row>
    <row r="146" spans="10:12">
      <c r="J146" s="29" t="s">
        <v>223</v>
      </c>
      <c r="K146" s="30">
        <v>3450000</v>
      </c>
      <c r="L146" s="30">
        <v>325000</v>
      </c>
    </row>
    <row r="147" spans="10:12">
      <c r="J147" s="29" t="s">
        <v>224</v>
      </c>
      <c r="K147" s="30">
        <v>3450000</v>
      </c>
      <c r="L147" s="30">
        <v>340000</v>
      </c>
    </row>
    <row r="148" spans="10:12">
      <c r="J148" s="29" t="s">
        <v>7</v>
      </c>
      <c r="K148" s="30">
        <v>3450000</v>
      </c>
      <c r="L148" s="30">
        <v>350000</v>
      </c>
    </row>
    <row r="149" spans="10:12">
      <c r="J149" s="29" t="s">
        <v>225</v>
      </c>
      <c r="K149" s="30">
        <v>3450000</v>
      </c>
      <c r="L149" s="30">
        <v>325000</v>
      </c>
    </row>
    <row r="150" spans="10:12">
      <c r="J150" s="29" t="s">
        <v>226</v>
      </c>
      <c r="K150" s="30">
        <v>3450000</v>
      </c>
      <c r="L150" s="30">
        <v>640000</v>
      </c>
    </row>
    <row r="151" spans="10:12">
      <c r="J151" s="29" t="s">
        <v>227</v>
      </c>
      <c r="K151" s="30">
        <v>3450000</v>
      </c>
      <c r="L151" s="30">
        <v>630000</v>
      </c>
    </row>
    <row r="152" spans="10:12">
      <c r="J152" s="29" t="s">
        <v>228</v>
      </c>
      <c r="K152" s="30">
        <v>3450000</v>
      </c>
      <c r="L152" s="30">
        <v>610000</v>
      </c>
    </row>
    <row r="153" spans="10:12">
      <c r="J153" s="29" t="s">
        <v>229</v>
      </c>
      <c r="K153" s="30">
        <v>3450000</v>
      </c>
      <c r="L153" s="30">
        <v>640000</v>
      </c>
    </row>
    <row r="154" spans="10:12">
      <c r="J154" s="29" t="s">
        <v>230</v>
      </c>
      <c r="K154" s="30">
        <v>3450000</v>
      </c>
      <c r="L154" s="30">
        <v>660000</v>
      </c>
    </row>
    <row r="155" spans="10:12">
      <c r="J155" s="29" t="s">
        <v>231</v>
      </c>
      <c r="K155" s="30">
        <v>3450000</v>
      </c>
      <c r="L155" s="30">
        <v>590000</v>
      </c>
    </row>
    <row r="156" spans="10:12">
      <c r="J156" s="29" t="s">
        <v>232</v>
      </c>
      <c r="K156" s="30">
        <v>3450000</v>
      </c>
      <c r="L156" s="30">
        <v>590000</v>
      </c>
    </row>
    <row r="157" spans="10:12">
      <c r="J157" s="29" t="s">
        <v>233</v>
      </c>
      <c r="K157" s="30">
        <v>3450000</v>
      </c>
      <c r="L157" s="30">
        <v>660000</v>
      </c>
    </row>
    <row r="158" spans="10:12">
      <c r="J158" s="29" t="s">
        <v>234</v>
      </c>
      <c r="K158" s="30">
        <v>3450000</v>
      </c>
      <c r="L158" s="30">
        <v>690000</v>
      </c>
    </row>
    <row r="159" spans="10:12">
      <c r="J159" s="29" t="s">
        <v>235</v>
      </c>
      <c r="K159" s="30">
        <v>3450000</v>
      </c>
      <c r="L159" s="30">
        <v>630000</v>
      </c>
    </row>
    <row r="160" spans="10:12">
      <c r="J160" s="29" t="s">
        <v>236</v>
      </c>
      <c r="K160" s="30">
        <v>3450000</v>
      </c>
      <c r="L160" s="30">
        <v>580000</v>
      </c>
    </row>
    <row r="161" spans="10:12">
      <c r="J161" s="29" t="s">
        <v>237</v>
      </c>
      <c r="K161" s="30">
        <v>0</v>
      </c>
      <c r="L161" s="29" t="s">
        <v>238</v>
      </c>
    </row>
  </sheetData>
  <sortState xmlns:xlrd2="http://schemas.microsoft.com/office/spreadsheetml/2017/richdata2" ref="J1:L161">
    <sortCondition descending="1" ref="K1:K161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0FC0B7DAAA2648AE207ABD5A3766C1" ma:contentTypeVersion="17" ma:contentTypeDescription="새 문서를 만듭니다." ma:contentTypeScope="" ma:versionID="3190ee9720ce1ebb7a394bc4ca406abb">
  <xsd:schema xmlns:xsd="http://www.w3.org/2001/XMLSchema" xmlns:xs="http://www.w3.org/2001/XMLSchema" xmlns:p="http://schemas.microsoft.com/office/2006/metadata/properties" xmlns:ns2="046fe32c-d480-456a-a3e2-649e42f9d10d" xmlns:ns3="a09ad84a-4c15-4094-bc27-8774ad27384e" targetNamespace="http://schemas.microsoft.com/office/2006/metadata/properties" ma:root="true" ma:fieldsID="90eebbbff0994ae2791f9232b9cc1961" ns2:_="" ns3:_="">
    <xsd:import namespace="046fe32c-d480-456a-a3e2-649e42f9d10d"/>
    <xsd:import namespace="a09ad84a-4c15-4094-bc27-8774ad2738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fe32c-d480-456a-a3e2-649e42f9d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30399336-d497-4bf1-b439-58c023e25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ad84a-4c15-4094-bc27-8774ad27384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2f62217-f683-4a3f-8b69-d6e4dd5ab7a5}" ma:internalName="TaxCatchAll" ma:showField="CatchAllData" ma:web="a09ad84a-4c15-4094-bc27-8774ad273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6fe32c-d480-456a-a3e2-649e42f9d10d">
      <Terms xmlns="http://schemas.microsoft.com/office/infopath/2007/PartnerControls"/>
    </lcf76f155ced4ddcb4097134ff3c332f>
    <TaxCatchAll xmlns="a09ad84a-4c15-4094-bc27-8774ad27384e" xsi:nil="true"/>
  </documentManagement>
</p:properties>
</file>

<file path=customXml/itemProps1.xml><?xml version="1.0" encoding="utf-8"?>
<ds:datastoreItem xmlns:ds="http://schemas.openxmlformats.org/officeDocument/2006/customXml" ds:itemID="{C7647681-B750-4D13-AB8E-9B1F5337663F}"/>
</file>

<file path=customXml/itemProps2.xml><?xml version="1.0" encoding="utf-8"?>
<ds:datastoreItem xmlns:ds="http://schemas.openxmlformats.org/officeDocument/2006/customXml" ds:itemID="{88D74EC5-148A-4E78-9D39-9B5B58028648}"/>
</file>

<file path=customXml/itemProps3.xml><?xml version="1.0" encoding="utf-8"?>
<ds:datastoreItem xmlns:ds="http://schemas.openxmlformats.org/officeDocument/2006/customXml" ds:itemID="{1213C6E7-23E8-4B09-8A33-1A00298D6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한동엽</dc:creator>
  <cp:keywords/>
  <dc:description/>
  <cp:lastModifiedBy/>
  <cp:revision/>
  <dcterms:created xsi:type="dcterms:W3CDTF">2026-05-18T01:41:45Z</dcterms:created>
  <dcterms:modified xsi:type="dcterms:W3CDTF">2026-06-14T01:17:54Z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0x010100670FC0B7DAAA2648AE207ABD5A3766C1</vt:lpwstr>
  </property>
  <property fmtid="{D5CDD505-2E9C-101B-9397-08002B2CF9AE}" pid="3" name="MediaServiceImageTags">
    <vt:lpwstr/>
  </property>
</Properties>
</file>